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TODO Takalo-Takalo" sheetId="2" state="visible" r:id="rId3"/>
  </sheet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<sst xmlns="http://schemas.openxmlformats.org/spreadsheetml/2006/main" count="115" uniqueCount="53">
  <si>
    <t xml:space="preserve">Qui</t>
  </si>
  <si>
    <t xml:space="preserve">Sum of Estimation (min)</t>
  </si>
  <si>
    <t xml:space="preserve">Sanda</t>
  </si>
  <si>
    <t xml:space="preserve">Ianjara</t>
  </si>
  <si>
    <t xml:space="preserve">Fabrice</t>
  </si>
  <si>
    <t xml:space="preserve">Total Résultat</t>
  </si>
  <si>
    <t xml:space="preserve">Module</t>
  </si>
  <si>
    <t xml:space="preserve">Tâche</t>
  </si>
  <si>
    <t xml:space="preserve">Estimation (min)</t>
  </si>
  <si>
    <t xml:space="preserve">Temps passe</t>
  </si>
  <si>
    <t xml:space="preserve">Reste à faire (min)</t>
  </si>
  <si>
    <t xml:space="preserve">Avancement (%)</t>
  </si>
  <si>
    <t xml:space="preserve">Inscription</t>
  </si>
  <si>
    <t xml:space="preserve">Page inscription (GET /inscription + vue app/views/user/inscription.php)</t>
  </si>
  <si>
    <t xml:space="preserve">Insertion utilisateur (Utilisateur::inscrire + hash mot de passe)</t>
  </si>
  <si>
    <t xml:space="preserve">Soumission AJAX(fetch + retour JSON + redirection front)</t>
  </si>
  <si>
    <t xml:space="preserve">Validation serveur des champs obligatoires(nom, prenom, email, password, telephone) via FormValidator</t>
  </si>
  <si>
    <t xml:space="preserve">Regle mot de passe fort(8+ chars, majuscule, minuscule, chiffre, caractere special)</t>
  </si>
  <si>
    <t xml:space="preserve">Connexion utilisateur</t>
  </si>
  <si>
    <t xml:space="preserve">Page login (GET /login + vue app/views/user/login.php)</t>
  </si>
  <si>
    <t xml:space="preserve">Vérification identifiants (Utilisateur::login + password_verify)</t>
  </si>
  <si>
    <t xml:space="preserve">Variables de session utilisateur stockées après login</t>
  </si>
  <si>
    <t xml:space="preserve">Soumission AJAX (fetch + retour JSON sur succes/erreur)</t>
  </si>
  <si>
    <t xml:space="preserve">Detection requete AJAX factorisee dans RequestHelper::isAjaxRequest</t>
  </si>
  <si>
    <t xml:space="preserve">Logout existant (session_destroy) mais nettoyage à renforcer</t>
  </si>
  <si>
    <t xml:space="preserve">Objets</t>
  </si>
  <si>
    <t xml:space="preserve">Liste objets disponibles affichée (GET /objets + Objet::getAutresObjets)</t>
  </si>
  <si>
    <t xml:space="preserve">Recherche active (mot-clé + catégorie via Objet::search)</t>
  </si>
  <si>
    <t xml:space="preserve">Fiche objet complète (infos, photos, historique, formulaire proposition)</t>
  </si>
  <si>
    <t xml:space="preserve">Mes objets</t>
  </si>
  <si>
    <t xml:space="preserve">Création objet faite (POST /objet/ajouter + insertion DB)</t>
  </si>
  <si>
    <t xml:space="preserve">Upload multiple codé (move_uploaded_file + photo principale)</t>
  </si>
  <si>
    <t xml:space="preserve">Modification objet fonctionnelle (POST /objet/modifier/@id)</t>
  </si>
  <si>
    <t xml:space="preserve">Soumission AJAX implementee pour ajout/modification (modales + fetch + JSON)</t>
  </si>
  <si>
    <t xml:space="preserve">Validation centralisee avec FormValidator::validateObjetData</t>
  </si>
  <si>
    <t xml:space="preserve">Suppression objet présente via GET (à migrer en POST)</t>
  </si>
  <si>
    <t xml:space="preserve">Contrôle propriétaire implémenté avant modifier/supprimer</t>
  </si>
  <si>
    <t xml:space="preserve">Propositions et échanges</t>
  </si>
  <si>
    <t xml:space="preserve">Création proposition (POST /proposition/creer + Proposition::create)</t>
  </si>
  <si>
    <t xml:space="preserve">Pages reçues/envoyées en place (GET /echanges + vue onglets)</t>
  </si>
  <si>
    <t xml:space="preserve">Acceptation opérationnelle (transaction + échange + transfert)</t>
  </si>
  <si>
    <t xml:space="preserve">Refus opérationnel (UPDATE statut = refuse)</t>
  </si>
  <si>
    <t xml:space="preserve">Acceptation/refus exposés en GET (à convertir en POST)</t>
  </si>
  <si>
    <t xml:space="preserve">Administration</t>
  </si>
  <si>
    <t xml:space="preserve">Login admin  (GET/POST /admin/login + Admin::login)</t>
  </si>
  <si>
    <t xml:space="preserve">Dashboard (compteurs utilisateurs/objets/echanges/propositions/categories)</t>
  </si>
  <si>
    <t xml:space="preserve">Gestion categories (liste/ajout/modif/suppression)</t>
  </si>
  <si>
    <t xml:space="preserve">Liens d'accessibilite ajoutes (navbar + page login admin)</t>
  </si>
  <si>
    <t xml:space="preserve">Suppression categorie en GET</t>
  </si>
  <si>
    <t xml:space="preserve">Partie 3/3</t>
  </si>
  <si>
    <t xml:space="preserve">Filtres par intervalle de prix (±10% et ±20%) implementes dans mes objets</t>
  </si>
  <si>
    <t xml:space="preserve">Propositions d'echange integre avec difference de prix affichee</t>
  </si>
  <si>
    <t xml:space="preserve">Correction affichage erreurs AJAX dans formulaires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</si>
</sst>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\ %"/>
  </numFmts>
  <fonts count="6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34"/>
    </font>
    <font>
      <sz val="11"/>
      <color rgb="FFFFFFFF"/>
      <name val="Calibri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tégorie de la table dynamique" xfId="20"/>
    <cellStyle name="Champ de la table dynamique" xfId="21"/>
    <cellStyle name="Coin de la table dynamique" xfId="22"/>
    <cellStyle name="Résultat de la table dynamique" xfId="23"/>
    <cellStyle name="Titre de la table dynamique" xfId="24"/>
    <cellStyle name="Valeur de la table dynamique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6" createdVersion="3">
  <cacheSource type="worksheet">
    <worksheetSource ref="A1:G27" sheet="TODO Takalo-Takalo"/>
  </cacheSource>
  <cacheFields count="7">
    <cacheField name="Module" numFmtId="0">
      <sharedItems count="5">
        <s v="Connexion utilisateur"/>
        <s v="Inscription"/>
        <s v="Mes objets"/>
        <s v="Objets"/>
        <s v="Propositions et échanges"/>
      </sharedItems>
    </cacheField>
    <cacheField name="Tâche" numFmtId="0">
      <sharedItems count="26">
        <s v="Acceptation opérationnelle (transaction + échange + transfert)"/>
        <s v="Acceptation/refus exposés en GET (à convertir en POST)"/>
        <s v="Contrôle propriétaire implémenté avant modifier/supprimer"/>
        <s v="Création objet faite (POST /objet/ajouter + insertion DB)"/>
        <s v="Création proposition (POST /proposition/creer + Proposition::create)"/>
        <s v="Detection requete AJAX factorisee dans RequestHelper::isAjaxRequest"/>
        <s v="Fiche objet complète (infos, photos, historique, formulaire proposition)"/>
        <s v="Insertion utilisateur (Utilisateur::inscrire + hash mot de passe)"/>
        <s v="Liste objets disponibles affichée (GET /objets + Objet::getAutresObjets)"/>
        <s v="Logout existant (session_destroy) mais nettoyage à renforcer"/>
        <s v="Modification objet fonctionnelle (POST /objet/modifier/@id)"/>
        <s v="Page inscription (GET /inscription + vue app/views/user/inscription.php)"/>
        <s v="Page login (GET /login + vue app/views/user/login.php)"/>
        <s v="Pages reçues/envoyées en place (GET /echanges + vue onglets)"/>
        <s v="Recherche active (mot-clé + catégorie via Objet::search)"/>
        <s v="Refus opérationnel (UPDATE statut = refuse)"/>
        <s v="Regle mot de passe fort(8+ chars, majuscule, minuscule, chiffre, caractere special)"/>
        <s v="Soumission AJAX (fetch + retour JSON sur succes/erreur)"/>
        <s v="Soumission AJAX implementee pour ajout/modification (modales + fetch + JSON)"/>
        <s v="Soumission AJAX(fetch + retour JSON + redirection front)"/>
        <s v="Suppression objet présente via GET (à migrer en POST)"/>
        <s v="Upload multiple codé (move_uploaded_file + photo principale)"/>
        <s v="Validation centralisee avec FormValidator::validateObjetData"/>
        <s v="Validation serveur des champs obligatoires(nom, prenom, email, password, telephone) via FormValidator"/>
        <s v="Variables de session utilisateur stockées après login"/>
        <s v="Vérification identifiants (Utilisateur::login + password_verify)"/>
      </sharedItems>
    </cacheField>
    <cacheField name="Estimation (min)" numFmtId="0">
      <sharedItems containsSemiMixedTypes="0" containsString="0" containsNumber="1" containsInteger="1" minValue="5" maxValue="35" count="7">
        <n v="5"/>
        <n v="10"/>
        <n v="15"/>
        <n v="20"/>
        <n v="25"/>
        <n v="30"/>
        <n v="35"/>
      </sharedItems>
    </cacheField>
    <cacheField name="Temps passe" numFmtId="0">
      <sharedItems containsSemiMixedTypes="0" containsString="0" containsNumber="1" containsInteger="1" minValue="5" maxValue="40" count="8">
        <n v="5"/>
        <n v="10"/>
        <n v="15"/>
        <n v="20"/>
        <n v="25"/>
        <n v="30"/>
        <n v="35"/>
        <n v="40"/>
      </sharedItems>
    </cacheField>
    <cacheField name="Reste à faire (min)" numFmtId="0">
      <sharedItems containsSemiMixedTypes="0" containsString="0" containsNumber="1" containsInteger="1" minValue="0" maxValue="0" count="1">
        <n v="0"/>
      </sharedItems>
    </cacheField>
    <cacheField name="Avancement (%)" numFmtId="0">
      <sharedItems containsSemiMixedTypes="0" containsString="0" containsNumber="1" containsInteger="1" minValue="1" maxValue="1" count="1">
        <n v="1"/>
      </sharedItems>
    </cacheField>
    <cacheField name="Qui" numFmtId="0">
      <sharedItems count="3">
        <s v="Fabrice"/>
        <s v="Ianjara"/>
        <s v="Sanda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">
  <r>
    <x v="1"/>
    <x v="11"/>
    <x v="1"/>
    <x v="1"/>
    <x v="0"/>
    <x v="0"/>
    <x v="1"/>
  </r>
  <r>
    <x v="1"/>
    <x v="7"/>
    <x v="0"/>
    <x v="0"/>
    <x v="0"/>
    <x v="0"/>
    <x v="1"/>
  </r>
  <r>
    <x v="1"/>
    <x v="19"/>
    <x v="3"/>
    <x v="3"/>
    <x v="0"/>
    <x v="0"/>
    <x v="1"/>
  </r>
  <r>
    <x v="1"/>
    <x v="23"/>
    <x v="6"/>
    <x v="5"/>
    <x v="0"/>
    <x v="0"/>
    <x v="1"/>
  </r>
  <r>
    <x v="1"/>
    <x v="16"/>
    <x v="2"/>
    <x v="2"/>
    <x v="0"/>
    <x v="0"/>
    <x v="0"/>
  </r>
  <r>
    <x v="0"/>
    <x v="12"/>
    <x v="1"/>
    <x v="2"/>
    <x v="0"/>
    <x v="0"/>
    <x v="0"/>
  </r>
  <r>
    <x v="0"/>
    <x v="25"/>
    <x v="3"/>
    <x v="3"/>
    <x v="0"/>
    <x v="0"/>
    <x v="0"/>
  </r>
  <r>
    <x v="0"/>
    <x v="24"/>
    <x v="1"/>
    <x v="1"/>
    <x v="0"/>
    <x v="0"/>
    <x v="0"/>
  </r>
  <r>
    <x v="0"/>
    <x v="17"/>
    <x v="3"/>
    <x v="2"/>
    <x v="0"/>
    <x v="0"/>
    <x v="0"/>
  </r>
  <r>
    <x v="0"/>
    <x v="5"/>
    <x v="2"/>
    <x v="3"/>
    <x v="0"/>
    <x v="0"/>
    <x v="0"/>
  </r>
  <r>
    <x v="0"/>
    <x v="9"/>
    <x v="0"/>
    <x v="0"/>
    <x v="0"/>
    <x v="0"/>
    <x v="0"/>
  </r>
  <r>
    <x v="3"/>
    <x v="8"/>
    <x v="3"/>
    <x v="4"/>
    <x v="0"/>
    <x v="0"/>
    <x v="1"/>
  </r>
  <r>
    <x v="3"/>
    <x v="14"/>
    <x v="5"/>
    <x v="5"/>
    <x v="0"/>
    <x v="0"/>
    <x v="1"/>
  </r>
  <r>
    <x v="3"/>
    <x v="6"/>
    <x v="3"/>
    <x v="3"/>
    <x v="0"/>
    <x v="0"/>
    <x v="1"/>
  </r>
  <r>
    <x v="2"/>
    <x v="3"/>
    <x v="2"/>
    <x v="3"/>
    <x v="0"/>
    <x v="0"/>
    <x v="2"/>
  </r>
  <r>
    <x v="2"/>
    <x v="21"/>
    <x v="5"/>
    <x v="7"/>
    <x v="0"/>
    <x v="0"/>
    <x v="2"/>
  </r>
  <r>
    <x v="2"/>
    <x v="10"/>
    <x v="3"/>
    <x v="3"/>
    <x v="0"/>
    <x v="0"/>
    <x v="2"/>
  </r>
  <r>
    <x v="2"/>
    <x v="18"/>
    <x v="6"/>
    <x v="6"/>
    <x v="0"/>
    <x v="0"/>
    <x v="2"/>
  </r>
  <r>
    <x v="2"/>
    <x v="22"/>
    <x v="3"/>
    <x v="3"/>
    <x v="0"/>
    <x v="0"/>
    <x v="2"/>
  </r>
  <r>
    <x v="2"/>
    <x v="20"/>
    <x v="1"/>
    <x v="1"/>
    <x v="0"/>
    <x v="0"/>
    <x v="2"/>
  </r>
  <r>
    <x v="2"/>
    <x v="2"/>
    <x v="2"/>
    <x v="2"/>
    <x v="0"/>
    <x v="0"/>
    <x v="2"/>
  </r>
  <r>
    <x v="4"/>
    <x v="4"/>
    <x v="4"/>
    <x v="3"/>
    <x v="0"/>
    <x v="0"/>
    <x v="0"/>
  </r>
  <r>
    <x v="4"/>
    <x v="13"/>
    <x v="4"/>
    <x v="4"/>
    <x v="0"/>
    <x v="0"/>
    <x v="0"/>
  </r>
  <r>
    <x v="4"/>
    <x v="0"/>
    <x v="2"/>
    <x v="2"/>
    <x v="0"/>
    <x v="0"/>
    <x v="2"/>
  </r>
  <r>
    <x v="4"/>
    <x v="15"/>
    <x v="1"/>
    <x v="1"/>
    <x v="0"/>
    <x v="0"/>
    <x v="2"/>
  </r>
  <r>
    <x v="4"/>
    <x v="1"/>
    <x v="1"/>
    <x v="1"/>
    <x v="0"/>
    <x v="0"/>
    <x v="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B7" firstHeaderRow="1" firstDataRow="1" firstDataCol="1"/>
  <pivotFields count="7"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axis="axisRow" compact="0" showAll="0">
      <items count="4">
        <item x="2"/>
        <item x="1"/>
        <item x="0"/>
        <item t="default"/>
      </items>
    </pivotField>
  </pivotFields>
  <rowFields count="1">
    <field x="6"/>
  </rowFields>
  <dataFields count="1">
    <dataField name="Sum of Estimation (min)" fld="2" subtotal="sum" numFmtId="164"/>
  </dataFields>
  <pivotTableStyleInfo name="PivotStyleLight16" showRowHeaders="1" showColHeaders="1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11.63"/>
    <col collapsed="false" customWidth="true" hidden="false" outlineLevel="0" max="2" min="2" style="0" width="23.28"/>
  </cols>
  <sheetData>
    <row r="3" customFormat="false" ht="14.25" hidden="false" customHeight="false" outlineLevel="0" collapsed="false">
      <c r="A3" s="1" t="s">
        <v>0</v>
      </c>
      <c r="B3" s="2" t="s">
        <v>1</v>
      </c>
    </row>
    <row r="4" customFormat="false" ht="14.25" hidden="false" customHeight="false" outlineLevel="0" collapsed="false">
      <c r="A4" s="3" t="s">
        <v>2</v>
      </c>
      <c r="B4" s="4" t="n">
        <v>180</v>
      </c>
    </row>
    <row r="5" customFormat="false" ht="14.25" hidden="false" customHeight="false" outlineLevel="0" collapsed="false">
      <c r="A5" s="5" t="s">
        <v>3</v>
      </c>
      <c r="B5" s="6" t="n">
        <v>140</v>
      </c>
    </row>
    <row r="6" customFormat="false" ht="14.25" hidden="false" customHeight="false" outlineLevel="0" collapsed="false">
      <c r="A6" s="5" t="s">
        <v>4</v>
      </c>
      <c r="B6" s="7" t="n">
        <v>145</v>
      </c>
    </row>
    <row r="7" customFormat="false" ht="14.25" hidden="false" customHeight="false" outlineLevel="0" collapsed="false">
      <c r="A7" s="8" t="s">
        <v>5</v>
      </c>
      <c r="B7" s="9" t="n">
        <v>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B38" activeCellId="0" sqref="B38"/>
    </sheetView>
  </sheetViews>
  <sheetFormatPr defaultColWidth="9" defaultRowHeight="14.25" zeroHeight="false" outlineLevelRow="0" outlineLevelCol="0"/>
  <cols>
    <col collapsed="false" customWidth="true" hidden="false" outlineLevel="0" max="1" min="1" style="0" width="23.73"/>
    <col collapsed="false" customWidth="true" hidden="false" outlineLevel="0" max="2" min="2" style="0" width="98.64"/>
    <col collapsed="false" customWidth="true" hidden="false" outlineLevel="0" max="3" min="3" style="0" width="16"/>
    <col collapsed="false" customWidth="true" hidden="false" outlineLevel="0" max="5" min="4" style="0" width="17.64"/>
    <col collapsed="false" customWidth="true" hidden="false" outlineLevel="0" max="6" min="6" style="0" width="15.73"/>
  </cols>
  <sheetData>
    <row r="1" customFormat="false" ht="14.25" hidden="false" customHeight="false" outlineLevel="0" collapsed="false">
      <c r="A1" s="10" t="s">
        <v>6</v>
      </c>
      <c r="B1" s="10" t="s">
        <v>7</v>
      </c>
      <c r="C1" s="10" t="s">
        <v>8</v>
      </c>
      <c r="D1" s="10" t="s">
        <v>9</v>
      </c>
      <c r="E1" s="10" t="s">
        <v>10</v>
      </c>
      <c r="F1" s="10" t="s">
        <v>11</v>
      </c>
      <c r="G1" s="10" t="s">
        <v>0</v>
      </c>
    </row>
    <row r="2" customFormat="false" ht="14.25" hidden="false" customHeight="false" outlineLevel="0" collapsed="false">
      <c r="A2" s="11" t="s">
        <v>12</v>
      </c>
      <c r="B2" s="11" t="s">
        <v>13</v>
      </c>
      <c r="C2" s="11" t="n">
        <v>10</v>
      </c>
      <c r="D2" s="11" t="n">
        <v>10</v>
      </c>
      <c r="E2" s="11" t="n">
        <f aca="false">C2-D2</f>
        <v>0</v>
      </c>
      <c r="F2" s="12" t="n">
        <f aca="false">D2/(D2+E2)</f>
        <v>1</v>
      </c>
      <c r="G2" s="11" t="s">
        <v>3</v>
      </c>
    </row>
    <row r="3" customFormat="false" ht="14.25" hidden="false" customHeight="false" outlineLevel="0" collapsed="false">
      <c r="A3" s="11" t="s">
        <v>12</v>
      </c>
      <c r="B3" s="11" t="s">
        <v>14</v>
      </c>
      <c r="C3" s="11" t="n">
        <v>5</v>
      </c>
      <c r="D3" s="11" t="n">
        <v>5</v>
      </c>
      <c r="E3" s="11" t="n">
        <f aca="false">C3-D3</f>
        <v>0</v>
      </c>
      <c r="F3" s="12" t="n">
        <f aca="false">D3/(D3+E3)</f>
        <v>1</v>
      </c>
      <c r="G3" s="11" t="s">
        <v>3</v>
      </c>
    </row>
    <row r="4" customFormat="false" ht="14.25" hidden="false" customHeight="false" outlineLevel="0" collapsed="false">
      <c r="A4" s="11" t="s">
        <v>12</v>
      </c>
      <c r="B4" s="11" t="s">
        <v>15</v>
      </c>
      <c r="C4" s="11" t="n">
        <v>20</v>
      </c>
      <c r="D4" s="11" t="n">
        <v>20</v>
      </c>
      <c r="E4" s="11" t="n">
        <f aca="false">C4-D4</f>
        <v>0</v>
      </c>
      <c r="F4" s="12" t="n">
        <f aca="false">D4/(D4+E4)</f>
        <v>1</v>
      </c>
      <c r="G4" s="11" t="s">
        <v>3</v>
      </c>
    </row>
    <row r="5" customFormat="false" ht="14.25" hidden="false" customHeight="false" outlineLevel="0" collapsed="false">
      <c r="A5" s="11" t="s">
        <v>12</v>
      </c>
      <c r="B5" s="11" t="s">
        <v>16</v>
      </c>
      <c r="C5" s="11" t="n">
        <v>35</v>
      </c>
      <c r="D5" s="11" t="n">
        <v>30</v>
      </c>
      <c r="E5" s="11" t="n">
        <v>0</v>
      </c>
      <c r="F5" s="12" t="n">
        <f aca="false">D5/(D5+E5)</f>
        <v>1</v>
      </c>
      <c r="G5" s="11" t="s">
        <v>3</v>
      </c>
    </row>
    <row r="6" customFormat="false" ht="13.8" hidden="false" customHeight="false" outlineLevel="0" collapsed="false">
      <c r="A6" s="11" t="s">
        <v>12</v>
      </c>
      <c r="B6" s="11" t="s">
        <v>17</v>
      </c>
      <c r="C6" s="11" t="n">
        <v>15</v>
      </c>
      <c r="D6" s="11" t="n">
        <v>15</v>
      </c>
      <c r="E6" s="11" t="n">
        <v>0</v>
      </c>
      <c r="F6" s="12" t="n">
        <f aca="false">D6/(D6+E6)</f>
        <v>1</v>
      </c>
      <c r="G6" s="11" t="s">
        <v>4</v>
      </c>
    </row>
    <row r="7" customFormat="false" ht="13.8" hidden="false" customHeight="false" outlineLevel="0" collapsed="false">
      <c r="A7" s="11" t="s">
        <v>18</v>
      </c>
      <c r="B7" s="11" t="s">
        <v>19</v>
      </c>
      <c r="C7" s="11" t="n">
        <v>10</v>
      </c>
      <c r="D7" s="11" t="n">
        <v>15</v>
      </c>
      <c r="E7" s="11" t="n">
        <v>0</v>
      </c>
      <c r="F7" s="12" t="n">
        <f aca="false">D7/(D7+E7)</f>
        <v>1</v>
      </c>
      <c r="G7" s="11" t="s">
        <v>4</v>
      </c>
    </row>
    <row r="8" customFormat="false" ht="13.8" hidden="false" customHeight="false" outlineLevel="0" collapsed="false">
      <c r="A8" s="11" t="s">
        <v>18</v>
      </c>
      <c r="B8" s="11" t="s">
        <v>20</v>
      </c>
      <c r="C8" s="11" t="n">
        <v>20</v>
      </c>
      <c r="D8" s="11" t="n">
        <v>20</v>
      </c>
      <c r="E8" s="11" t="n">
        <f aca="false">C8-D8</f>
        <v>0</v>
      </c>
      <c r="F8" s="12" t="n">
        <f aca="false">D8/(D8+E8)</f>
        <v>1</v>
      </c>
      <c r="G8" s="11" t="s">
        <v>4</v>
      </c>
    </row>
    <row r="9" customFormat="false" ht="13.8" hidden="false" customHeight="false" outlineLevel="0" collapsed="false">
      <c r="A9" s="11" t="s">
        <v>18</v>
      </c>
      <c r="B9" s="11" t="s">
        <v>21</v>
      </c>
      <c r="C9" s="11" t="n">
        <v>10</v>
      </c>
      <c r="D9" s="11" t="n">
        <v>10</v>
      </c>
      <c r="E9" s="11" t="n">
        <f aca="false">C9-D9</f>
        <v>0</v>
      </c>
      <c r="F9" s="12" t="n">
        <f aca="false">D9/(D9+E9)</f>
        <v>1</v>
      </c>
      <c r="G9" s="11" t="s">
        <v>4</v>
      </c>
    </row>
    <row r="10" customFormat="false" ht="13.8" hidden="false" customHeight="false" outlineLevel="0" collapsed="false">
      <c r="A10" s="11" t="s">
        <v>18</v>
      </c>
      <c r="B10" s="11" t="s">
        <v>22</v>
      </c>
      <c r="C10" s="11" t="n">
        <v>20</v>
      </c>
      <c r="D10" s="11" t="n">
        <v>15</v>
      </c>
      <c r="E10" s="11" t="n">
        <v>0</v>
      </c>
      <c r="F10" s="12" t="n">
        <f aca="false">D10/(D10+E10)</f>
        <v>1</v>
      </c>
      <c r="G10" s="11" t="s">
        <v>4</v>
      </c>
    </row>
    <row r="11" customFormat="false" ht="13.8" hidden="false" customHeight="false" outlineLevel="0" collapsed="false">
      <c r="A11" s="11" t="s">
        <v>18</v>
      </c>
      <c r="B11" s="11" t="s">
        <v>23</v>
      </c>
      <c r="C11" s="11" t="n">
        <v>15</v>
      </c>
      <c r="D11" s="11" t="n">
        <v>20</v>
      </c>
      <c r="E11" s="11" t="n">
        <v>0</v>
      </c>
      <c r="F11" s="12" t="n">
        <f aca="false">D11/(D11+E11)</f>
        <v>1</v>
      </c>
      <c r="G11" s="11" t="s">
        <v>4</v>
      </c>
    </row>
    <row r="12" customFormat="false" ht="13.8" hidden="false" customHeight="false" outlineLevel="0" collapsed="false">
      <c r="A12" s="11" t="s">
        <v>18</v>
      </c>
      <c r="B12" s="11" t="s">
        <v>24</v>
      </c>
      <c r="C12" s="11" t="n">
        <v>5</v>
      </c>
      <c r="D12" s="11" t="n">
        <v>5</v>
      </c>
      <c r="E12" s="11" t="n">
        <f aca="false">C12-D12</f>
        <v>0</v>
      </c>
      <c r="F12" s="12" t="n">
        <f aca="false">D12/(D12+E12)</f>
        <v>1</v>
      </c>
      <c r="G12" s="11" t="s">
        <v>4</v>
      </c>
    </row>
    <row r="13" customFormat="false" ht="13.8" hidden="false" customHeight="false" outlineLevel="0" collapsed="false">
      <c r="A13" s="11" t="s">
        <v>25</v>
      </c>
      <c r="B13" s="11" t="s">
        <v>26</v>
      </c>
      <c r="C13" s="11" t="n">
        <v>20</v>
      </c>
      <c r="D13" s="11" t="n">
        <v>25</v>
      </c>
      <c r="E13" s="11" t="n">
        <v>0</v>
      </c>
      <c r="F13" s="12" t="n">
        <f aca="false">D13/(D13+E13)</f>
        <v>1</v>
      </c>
      <c r="G13" s="11" t="s">
        <v>3</v>
      </c>
    </row>
    <row r="14" customFormat="false" ht="13.8" hidden="false" customHeight="false" outlineLevel="0" collapsed="false">
      <c r="A14" s="11" t="s">
        <v>25</v>
      </c>
      <c r="B14" s="11" t="s">
        <v>27</v>
      </c>
      <c r="C14" s="11" t="n">
        <v>30</v>
      </c>
      <c r="D14" s="11" t="n">
        <v>30</v>
      </c>
      <c r="E14" s="11" t="n">
        <f aca="false">C14-D14</f>
        <v>0</v>
      </c>
      <c r="F14" s="12" t="n">
        <f aca="false">D14/(D14+E14)</f>
        <v>1</v>
      </c>
      <c r="G14" s="11" t="s">
        <v>3</v>
      </c>
    </row>
    <row r="15" customFormat="false" ht="13.8" hidden="false" customHeight="false" outlineLevel="0" collapsed="false">
      <c r="A15" s="11" t="s">
        <v>25</v>
      </c>
      <c r="B15" s="11" t="s">
        <v>28</v>
      </c>
      <c r="C15" s="11" t="n">
        <v>20</v>
      </c>
      <c r="D15" s="11" t="n">
        <v>20</v>
      </c>
      <c r="E15" s="11" t="n">
        <f aca="false">C15-D15</f>
        <v>0</v>
      </c>
      <c r="F15" s="12" t="n">
        <f aca="false">D15/(D15+E15)</f>
        <v>1</v>
      </c>
      <c r="G15" s="11" t="s">
        <v>3</v>
      </c>
    </row>
    <row r="16" customFormat="false" ht="13.8" hidden="false" customHeight="false" outlineLevel="0" collapsed="false">
      <c r="A16" s="11" t="s">
        <v>29</v>
      </c>
      <c r="B16" s="11" t="s">
        <v>30</v>
      </c>
      <c r="C16" s="11" t="n">
        <v>15</v>
      </c>
      <c r="D16" s="11" t="n">
        <v>20</v>
      </c>
      <c r="E16" s="11" t="n">
        <v>0</v>
      </c>
      <c r="F16" s="12" t="n">
        <f aca="false">D16/(D16+E16)</f>
        <v>1</v>
      </c>
      <c r="G16" s="11" t="s">
        <v>2</v>
      </c>
    </row>
    <row r="17" customFormat="false" ht="13.8" hidden="false" customHeight="false" outlineLevel="0" collapsed="false">
      <c r="A17" s="11" t="s">
        <v>29</v>
      </c>
      <c r="B17" s="11" t="s">
        <v>31</v>
      </c>
      <c r="C17" s="11" t="n">
        <v>30</v>
      </c>
      <c r="D17" s="11" t="n">
        <v>40</v>
      </c>
      <c r="E17" s="11" t="n">
        <v>0</v>
      </c>
      <c r="F17" s="12" t="n">
        <f aca="false">D17/(D17+E17)</f>
        <v>1</v>
      </c>
      <c r="G17" s="11" t="s">
        <v>2</v>
      </c>
    </row>
    <row r="18" customFormat="false" ht="13.8" hidden="false" customHeight="false" outlineLevel="0" collapsed="false">
      <c r="A18" s="11" t="s">
        <v>29</v>
      </c>
      <c r="B18" s="11" t="s">
        <v>32</v>
      </c>
      <c r="C18" s="11" t="n">
        <v>20</v>
      </c>
      <c r="D18" s="11" t="n">
        <v>20</v>
      </c>
      <c r="E18" s="11" t="n">
        <f aca="false">C18-D18</f>
        <v>0</v>
      </c>
      <c r="F18" s="12" t="n">
        <f aca="false">D18/(D18+E18)</f>
        <v>1</v>
      </c>
      <c r="G18" s="11" t="s">
        <v>2</v>
      </c>
    </row>
    <row r="19" customFormat="false" ht="13.8" hidden="false" customHeight="false" outlineLevel="0" collapsed="false">
      <c r="A19" s="11" t="s">
        <v>29</v>
      </c>
      <c r="B19" s="11" t="s">
        <v>33</v>
      </c>
      <c r="C19" s="11" t="n">
        <v>35</v>
      </c>
      <c r="D19" s="11" t="n">
        <v>35</v>
      </c>
      <c r="E19" s="11" t="n">
        <f aca="false">C19-D19</f>
        <v>0</v>
      </c>
      <c r="F19" s="12" t="n">
        <f aca="false">D19/(D19+E19)</f>
        <v>1</v>
      </c>
      <c r="G19" s="11" t="s">
        <v>2</v>
      </c>
    </row>
    <row r="20" customFormat="false" ht="13.8" hidden="false" customHeight="false" outlineLevel="0" collapsed="false">
      <c r="A20" s="11" t="s">
        <v>29</v>
      </c>
      <c r="B20" s="11" t="s">
        <v>34</v>
      </c>
      <c r="C20" s="11" t="n">
        <v>20</v>
      </c>
      <c r="D20" s="11" t="n">
        <v>20</v>
      </c>
      <c r="E20" s="11" t="n">
        <f aca="false">C20-D20</f>
        <v>0</v>
      </c>
      <c r="F20" s="12" t="n">
        <f aca="false">D20/(D20+E20)</f>
        <v>1</v>
      </c>
      <c r="G20" s="11" t="s">
        <v>2</v>
      </c>
    </row>
    <row r="21" customFormat="false" ht="13.8" hidden="false" customHeight="false" outlineLevel="0" collapsed="false">
      <c r="A21" s="11" t="s">
        <v>29</v>
      </c>
      <c r="B21" s="11" t="s">
        <v>35</v>
      </c>
      <c r="C21" s="11" t="n">
        <v>10</v>
      </c>
      <c r="D21" s="11" t="n">
        <v>10</v>
      </c>
      <c r="E21" s="11" t="n">
        <f aca="false">C21-D21</f>
        <v>0</v>
      </c>
      <c r="F21" s="12" t="n">
        <f aca="false">D21/(D21+E21)</f>
        <v>1</v>
      </c>
      <c r="G21" s="11" t="s">
        <v>2</v>
      </c>
    </row>
    <row r="22" customFormat="false" ht="13.8" hidden="false" customHeight="false" outlineLevel="0" collapsed="false">
      <c r="A22" s="11" t="s">
        <v>29</v>
      </c>
      <c r="B22" s="11" t="s">
        <v>36</v>
      </c>
      <c r="C22" s="11" t="n">
        <v>15</v>
      </c>
      <c r="D22" s="11" t="n">
        <v>15</v>
      </c>
      <c r="E22" s="11" t="n">
        <f aca="false">C22-D22</f>
        <v>0</v>
      </c>
      <c r="F22" s="12" t="n">
        <f aca="false">D22/(D22+E22)</f>
        <v>1</v>
      </c>
      <c r="G22" s="11" t="s">
        <v>2</v>
      </c>
    </row>
    <row r="23" customFormat="false" ht="13.8" hidden="false" customHeight="false" outlineLevel="0" collapsed="false">
      <c r="A23" s="11" t="s">
        <v>37</v>
      </c>
      <c r="B23" s="11" t="s">
        <v>38</v>
      </c>
      <c r="C23" s="11" t="n">
        <v>25</v>
      </c>
      <c r="D23" s="11" t="n">
        <v>20</v>
      </c>
      <c r="E23" s="11" t="n">
        <v>0</v>
      </c>
      <c r="F23" s="12" t="n">
        <f aca="false">D23/(D23+E23)</f>
        <v>1</v>
      </c>
      <c r="G23" s="11" t="s">
        <v>4</v>
      </c>
    </row>
    <row r="24" customFormat="false" ht="13.8" hidden="false" customHeight="false" outlineLevel="0" collapsed="false">
      <c r="A24" s="11" t="s">
        <v>37</v>
      </c>
      <c r="B24" s="11" t="s">
        <v>39</v>
      </c>
      <c r="C24" s="11" t="n">
        <v>25</v>
      </c>
      <c r="D24" s="11" t="n">
        <v>25</v>
      </c>
      <c r="E24" s="11" t="n">
        <f aca="false">C24-D24</f>
        <v>0</v>
      </c>
      <c r="F24" s="12" t="n">
        <f aca="false">D24/(D24+E24)</f>
        <v>1</v>
      </c>
      <c r="G24" s="11" t="s">
        <v>4</v>
      </c>
    </row>
    <row r="25" customFormat="false" ht="13.8" hidden="false" customHeight="false" outlineLevel="0" collapsed="false">
      <c r="A25" s="11" t="s">
        <v>37</v>
      </c>
      <c r="B25" s="11" t="s">
        <v>40</v>
      </c>
      <c r="C25" s="11" t="n">
        <v>15</v>
      </c>
      <c r="D25" s="11" t="n">
        <v>15</v>
      </c>
      <c r="E25" s="11" t="n">
        <f aca="false">C25-D25</f>
        <v>0</v>
      </c>
      <c r="F25" s="12" t="n">
        <f aca="false">D25/(D25+E25)</f>
        <v>1</v>
      </c>
      <c r="G25" s="11" t="s">
        <v>2</v>
      </c>
    </row>
    <row r="26" customFormat="false" ht="13.8" hidden="false" customHeight="false" outlineLevel="0" collapsed="false">
      <c r="A26" s="11" t="s">
        <v>37</v>
      </c>
      <c r="B26" s="11" t="s">
        <v>41</v>
      </c>
      <c r="C26" s="11" t="n">
        <v>10</v>
      </c>
      <c r="D26" s="11" t="n">
        <v>10</v>
      </c>
      <c r="E26" s="11" t="n">
        <f aca="false">C26-D26</f>
        <v>0</v>
      </c>
      <c r="F26" s="12" t="n">
        <f aca="false">D26/(D26+E26)</f>
        <v>1</v>
      </c>
      <c r="G26" s="11" t="s">
        <v>2</v>
      </c>
    </row>
    <row r="27" customFormat="false" ht="13.8" hidden="false" customHeight="false" outlineLevel="0" collapsed="false">
      <c r="A27" s="11" t="s">
        <v>37</v>
      </c>
      <c r="B27" s="11" t="s">
        <v>42</v>
      </c>
      <c r="C27" s="11" t="n">
        <v>10</v>
      </c>
      <c r="D27" s="11" t="n">
        <v>10</v>
      </c>
      <c r="E27" s="11" t="n">
        <f aca="false">C27-D27</f>
        <v>0</v>
      </c>
      <c r="F27" s="12" t="n">
        <f aca="false">D27/(D27+E27)</f>
        <v>1</v>
      </c>
      <c r="G27" s="11" t="s">
        <v>2</v>
      </c>
    </row>
    <row r="28" customFormat="false" ht="14.25" hidden="false" customHeight="false" outlineLevel="0" collapsed="false">
      <c r="A28" s="13" t="s">
        <v>43</v>
      </c>
      <c r="B28" s="13" t="s">
        <v>44</v>
      </c>
      <c r="C28" s="13" t="n">
        <v>10</v>
      </c>
      <c r="D28" s="13" t="n">
        <v>10</v>
      </c>
      <c r="E28" s="11" t="n">
        <f aca="false">C28-D28</f>
        <v>0</v>
      </c>
      <c r="F28" s="12" t="n">
        <f aca="false">D28/(D28+E28)</f>
        <v>1</v>
      </c>
      <c r="G28" s="11" t="s">
        <v>4</v>
      </c>
    </row>
    <row r="29" customFormat="false" ht="14.25" hidden="false" customHeight="false" outlineLevel="0" collapsed="false">
      <c r="A29" s="13" t="s">
        <v>43</v>
      </c>
      <c r="B29" s="13" t="s">
        <v>45</v>
      </c>
      <c r="C29" s="13" t="n">
        <v>20</v>
      </c>
      <c r="D29" s="13" t="n">
        <v>20</v>
      </c>
      <c r="E29" s="11" t="n">
        <f aca="false">C29-D29</f>
        <v>0</v>
      </c>
      <c r="F29" s="12" t="n">
        <f aca="false">D29/(D29+E29)</f>
        <v>1</v>
      </c>
      <c r="G29" s="11" t="s">
        <v>4</v>
      </c>
    </row>
    <row r="30" customFormat="false" ht="14.25" hidden="false" customHeight="false" outlineLevel="0" collapsed="false">
      <c r="A30" s="13" t="s">
        <v>43</v>
      </c>
      <c r="B30" s="13" t="s">
        <v>46</v>
      </c>
      <c r="C30" s="13" t="n">
        <v>20</v>
      </c>
      <c r="D30" s="13" t="n">
        <v>20</v>
      </c>
      <c r="E30" s="11" t="n">
        <f aca="false">C30-D30</f>
        <v>0</v>
      </c>
      <c r="F30" s="12" t="n">
        <f aca="false">D30/(D30+E30)</f>
        <v>1</v>
      </c>
      <c r="G30" s="11" t="s">
        <v>3</v>
      </c>
    </row>
    <row r="31" customFormat="false" ht="14.25" hidden="false" customHeight="false" outlineLevel="0" collapsed="false">
      <c r="A31" s="13" t="s">
        <v>43</v>
      </c>
      <c r="B31" s="13" t="s">
        <v>47</v>
      </c>
      <c r="C31" s="13" t="n">
        <v>10</v>
      </c>
      <c r="D31" s="13" t="n">
        <v>10</v>
      </c>
      <c r="E31" s="11" t="n">
        <f aca="false">C31-D31</f>
        <v>0</v>
      </c>
      <c r="F31" s="12" t="n">
        <f aca="false">D31/(D31+E31)</f>
        <v>1</v>
      </c>
      <c r="G31" s="11" t="s">
        <v>3</v>
      </c>
    </row>
    <row r="32" customFormat="false" ht="14.25" hidden="false" customHeight="false" outlineLevel="0" collapsed="false">
      <c r="A32" s="13" t="s">
        <v>43</v>
      </c>
      <c r="B32" s="13" t="s">
        <v>48</v>
      </c>
      <c r="C32" s="13" t="n">
        <v>15</v>
      </c>
      <c r="D32" s="13" t="n">
        <v>20</v>
      </c>
      <c r="E32" s="11" t="n">
        <v>0</v>
      </c>
      <c r="F32" s="12" t="n">
        <f aca="false">D32/(D32+E32)</f>
        <v>1</v>
      </c>
      <c r="G32" s="11" t="s">
        <v>3</v>
      </c>
    </row>
    <row r="33" customFormat="false" ht="14.25" hidden="false" customHeight="false" outlineLevel="0" collapsed="false">
      <c r="A33" s="13" t="s">
        <v>49</v>
      </c>
      <c r="B33" s="13" t="s">
        <v>50</v>
      </c>
      <c r="C33" s="13" t="n">
        <v>30</v>
      </c>
      <c r="D33" s="13" t="n">
        <v>35</v>
      </c>
      <c r="E33" s="13" t="n">
        <v>0</v>
      </c>
      <c r="F33" s="12" t="n">
        <f aca="false">D33/(D33+E33)</f>
        <v>1</v>
      </c>
      <c r="G33" s="11" t="s">
        <v>4</v>
      </c>
    </row>
    <row r="34" customFormat="false" ht="14.25" hidden="false" customHeight="false" outlineLevel="0" collapsed="false">
      <c r="A34" s="13" t="s">
        <v>49</v>
      </c>
      <c r="B34" s="13" t="s">
        <v>51</v>
      </c>
      <c r="C34" s="13" t="n">
        <v>20</v>
      </c>
      <c r="D34" s="13" t="n">
        <v>20</v>
      </c>
      <c r="E34" s="13" t="n">
        <v>0</v>
      </c>
      <c r="F34" s="12" t="n">
        <f aca="false">D34/(D34+E34)</f>
        <v>1</v>
      </c>
      <c r="G34" s="11" t="s">
        <v>2</v>
      </c>
    </row>
    <row r="35" customFormat="false" ht="14.25" hidden="false" customHeight="false" outlineLevel="0" collapsed="false">
      <c r="A35" s="13" t="s">
        <v>49</v>
      </c>
      <c r="B35" s="13" t="s">
        <v>52</v>
      </c>
      <c r="C35" s="13" t="n">
        <v>30</v>
      </c>
      <c r="D35" s="13" t="n">
        <v>20</v>
      </c>
      <c r="E35" s="11" t="n">
        <f aca="false">C35-D35</f>
        <v>10</v>
      </c>
      <c r="F35" s="12" t="n">
        <f aca="false">D35/(D35+E35)</f>
        <v>0.666666666666667</v>
      </c>
      <c r="G35" s="11" t="s">
        <v>2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2026-02-11T08:27:00Z</dcterms:created>
  <dc:creator>openpyxl</dc:creator>
  <dc:description/>
  <dc:language>fr-FR</dc:language>
  <cp:lastModifiedBy/>
  <dcterms:modified xsi:type="dcterms:W3CDTF">2026-02-13T15:40:59Z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675B0FAB003C4750B972408DB3AD9E56_12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1</vt:bool>
  </property>
</Properties>
</file>