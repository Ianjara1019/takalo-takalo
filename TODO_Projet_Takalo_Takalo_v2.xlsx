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activeTab="1"/>
  </bookViews>
  <sheets>
    <sheet name="Sheet1" sheetId="2" r:id="rId1"/>
    <sheet name="TODO Takalo-Takalo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<sst xmlns="http://schemas.openxmlformats.org/spreadsheetml/2006/main" count="80" uniqueCount="38">
  <si>
    <t>Qui</t>
  </si>
  <si>
    <t>Sum of Estimation (min)</t>
  </si>
  <si>
    <t>Pers1</t>
  </si>
  <si>
    <t>Grand Total</t>
  </si>
  <si>
    <t>Module</t>
  </si>
  <si>
    <t>Tâche</t>
  </si>
  <si>
    <t>Estimation (min)</t>
  </si>
  <si>
    <t>Temps passe</t>
  </si>
  <si>
    <t>Reste à faire (min)</t>
  </si>
  <si>
    <t>Avancement (%)</t>
  </si>
  <si>
    <t>Inscription</t>
  </si>
  <si>
    <t>Page inscription (GET /inscription + vue app/views/user/inscription.php)</t>
  </si>
  <si>
    <t>Insertion utilisateur (Utilisateur::inscrire + hash mot de passe)</t>
  </si>
  <si>
    <t>Redirection + message session après inscription</t>
  </si>
  <si>
    <t>Validation serveur complète des champs obligatoires à finaliser</t>
  </si>
  <si>
    <t>Connexion utilisateur</t>
  </si>
  <si>
    <t>Page login (GET /login + vue app/views/user/login.php)</t>
  </si>
  <si>
    <t>Vérification identifiants (Utilisateur::login + password_verify)</t>
  </si>
  <si>
    <t>Variables de session utilisateur stockées après login</t>
  </si>
  <si>
    <t>Régénération ID session au login non faite (fixation session)</t>
  </si>
  <si>
    <t>Logout existant (session_destroy) mais nettoyage à renforcer</t>
  </si>
  <si>
    <t>Objets</t>
  </si>
  <si>
    <t>Liste objets disponibles affichée (GET /objets + Objet::getAutresObjets)</t>
  </si>
  <si>
    <t>Recherche active (mot-clé + catégorie via Objet::search)</t>
  </si>
  <si>
    <t>Fiche objet complète (infos, photos, historique, formulaire proposition)</t>
  </si>
  <si>
    <t>Gestion explicite objet inexistant à ajouter</t>
  </si>
  <si>
    <t>Mes objets</t>
  </si>
  <si>
    <t>Création objet faite (POST /objet/ajouter + insertion DB)</t>
  </si>
  <si>
    <t>Upload multiple codé (move_uploaded_file + photo principale)</t>
  </si>
  <si>
    <t>Modification objet fonctionnelle (POST /objet/modifier/@id)</t>
  </si>
  <si>
    <t>Suppression objet présente via GET (à migrer en POST)</t>
  </si>
  <si>
    <t>Contrôle propriétaire implémenté avant modifier/supprimer</t>
  </si>
  <si>
    <t>Propositions et échanges</t>
  </si>
  <si>
    <t>Création proposition en place (POST /proposition/creer + Proposition::create)</t>
  </si>
  <si>
    <t>Pages reçues/envoyées en place (GET /echanges + vue onglets)</t>
  </si>
  <si>
    <t>Acceptation opérationnelle (transaction + échange + transfert)</t>
  </si>
  <si>
    <t>Refus opérationnel (UPDATE statut = refuse)</t>
  </si>
  <si>
    <t>Acceptation/refus exposés en GET (à convertir en POST)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</si>
</sst>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\-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9" fontId="0" fillId="0" borderId="0" xfId="3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[TODO_Projet_Takalo_Takalo_v2.xlsx]Sheet1!PivotTable1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Sheet1!$A$4:$A$5</c:f>
              <c:strCache>
                <c:ptCount val="1"/>
                <c:pt idx="0">
                  <c:v>Pers1</c:v>
                </c:pt>
              </c:strCache>
            </c:strRef>
          </c:cat>
          <c:val>
            <c:numRef>
              <c:f>Sheet1!$B$4:$B$5</c:f>
              <c:numCache>
                <c:formatCode>General</c:formatCode>
                <c:ptCount val="1"/>
                <c:pt idx="0">
                  <c:v>390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2208414"/>
        <c:axId val="70858879"/>
      </c:barChart>
      <c:catAx>
        <c:axId val="76220841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858879"/>
        <c:crosses val="autoZero"/>
        <c:auto val="1"/>
        <c:lblAlgn val="ctr"/>
        <c:lblOffset val="100"/>
        <c:noMultiLvlLbl val="0"/>
      </c:catAx>
      <c:valAx>
        <c:axId val="7085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220841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c4744d9-747a-4445-8aab-7331910a2a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254000</xdr:colOff>
      <xdr:row>3</xdr:row>
      <xdr:rowOff>6350</xdr:rowOff>
    </xdr:from>
    <xdr:to>
      <xdr:col>13</xdr:col>
      <xdr:colOff>203200</xdr:colOff>
      <xdr:row>17</xdr:row>
      <xdr:rowOff>171450</xdr:rowOff>
    </xdr:to>
    <xdr:graphicFrame>
      <xdr:nvGraphicFramePr>
        <xdr:cNvPr id="2" name="Chart 1"/>
        <xdr:cNvGraphicFramePr/>
      </xdr:nvGraphicFramePr>
      <xdr:xfrm>
        <a:off x="4521200" y="558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64.8183333333" refreshedBy="Ianjara" recordCount="23">
  <cacheSource type="worksheet">
    <worksheetSource ref="A1:G24" sheet="TODO Takalo-Takalo"/>
  </cacheSource>
  <cacheFields count="7">
    <cacheField name="Module" numFmtId="0">
      <sharedItems count="5">
        <s v="Inscription"/>
        <s v="Connexion utilisateur"/>
        <s v="Objets"/>
        <s v="Mes objets"/>
        <s v="Propositions et échanges"/>
      </sharedItems>
    </cacheField>
    <cacheField name="Tâche" numFmtId="0">
      <sharedItems count="23">
        <s v="Page inscription (GET /inscription + vue app/views/user/inscription.php)"/>
        <s v="Insertion utilisateur (Utilisateur::inscrire + hash mot de passe)"/>
        <s v="Redirection + message session après inscription"/>
        <s v="Validation serveur complète des champs obligatoires à finaliser"/>
        <s v="Page login (GET /login + vue app/views/user/login.php)"/>
        <s v="Vérification identifiants (Utilisateur::login + password_verify)"/>
        <s v="Variables de session utilisateur stockées après login"/>
        <s v="Régénération ID session au login non faite (fixation session)"/>
        <s v="Logout existant (session_destroy) mais nettoyage à renforcer"/>
        <s v="Liste objets disponibles affichée (GET /objets + Objet::getAutresObjets)"/>
        <s v="Recherche active (mot-clé + catégorie via Objet::search)"/>
        <s v="Fiche objet complète (infos, photos, historique, formulaire proposition)"/>
        <s v="Gestion explicite objet inexistant à ajouter"/>
        <s v="Création objet faite (POST /objet/ajouter + insertion DB)"/>
        <s v="Upload multiple codé (move_uploaded_file + photo principale)"/>
        <s v="Modification objet fonctionnelle (POST /objet/modifier/@id)"/>
        <s v="Suppression objet présente via GET (à migrer en POST)"/>
        <s v="Contrôle propriétaire implémenté avant modifier/supprimer"/>
        <s v="Création proposition en place (POST /proposition/creer + Proposition::create)"/>
        <s v="Pages reçues/envoyées en place (GET /echanges + vue onglets)"/>
        <s v="Acceptation opérationnelle (transaction + échange + transfert)"/>
        <s v="Refus opérationnel (UPDATE statut = refuse)"/>
        <s v="Acceptation/refus exposés en GET (à convertir en POST)"/>
      </sharedItems>
    </cacheField>
    <cacheField name="Estimation (min)" numFmtId="0">
      <sharedItems containsSemiMixedTypes="0" containsString="0" containsNumber="1" containsInteger="1" minValue="5" maxValue="35" count="7">
        <n v="10"/>
        <n v="5"/>
        <n v="35"/>
        <n v="20"/>
        <n v="30"/>
        <n v="25"/>
        <n v="15"/>
      </sharedItems>
    </cacheField>
    <cacheField name="Temps passe" numFmtId="0">
      <sharedItems containsSemiMixedTypes="0" containsString="0" containsNumber="1" containsInteger="1" minValue="0" maxValue="40" count="8">
        <n v="10"/>
        <n v="5"/>
        <n v="30"/>
        <n v="15"/>
        <n v="20"/>
        <n v="0"/>
        <n v="25"/>
        <n v="40"/>
      </sharedItems>
    </cacheField>
    <cacheField name="Reste à faire (min)" numFmtId="0">
      <sharedItems containsSemiMixedTypes="0" containsString="0" containsNumber="1" containsInteger="1" minValue="0" maxValue="25" count="3">
        <n v="0"/>
        <n v="20"/>
        <n v="25"/>
      </sharedItems>
    </cacheField>
    <cacheField name="Avancement (%)" numFmtId="9">
      <sharedItems containsSemiMixedTypes="0" containsString="0" containsNumber="1" containsInteger="1" minValue="0" maxValue="1" count="2">
        <n v="1"/>
        <n v="0"/>
      </sharedItems>
    </cacheField>
    <cacheField name="Qui" numFmtId="0">
      <sharedItems containsBlank="1" count="2">
        <s v="Pers1"/>
        <m u="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">
  <r>
    <x v="0"/>
    <x v="0"/>
    <x v="0"/>
    <x v="0"/>
    <x v="0"/>
    <x v="0"/>
    <x v="0"/>
  </r>
  <r>
    <x v="0"/>
    <x v="1"/>
    <x v="1"/>
    <x v="1"/>
    <x v="0"/>
    <x v="0"/>
    <x v="0"/>
  </r>
  <r>
    <x v="0"/>
    <x v="2"/>
    <x v="1"/>
    <x v="1"/>
    <x v="0"/>
    <x v="0"/>
    <x v="0"/>
  </r>
  <r>
    <x v="0"/>
    <x v="3"/>
    <x v="2"/>
    <x v="2"/>
    <x v="0"/>
    <x v="0"/>
    <x v="0"/>
  </r>
  <r>
    <x v="1"/>
    <x v="4"/>
    <x v="0"/>
    <x v="3"/>
    <x v="0"/>
    <x v="0"/>
    <x v="0"/>
  </r>
  <r>
    <x v="1"/>
    <x v="5"/>
    <x v="3"/>
    <x v="4"/>
    <x v="0"/>
    <x v="0"/>
    <x v="0"/>
  </r>
  <r>
    <x v="1"/>
    <x v="6"/>
    <x v="0"/>
    <x v="0"/>
    <x v="0"/>
    <x v="0"/>
    <x v="0"/>
  </r>
  <r>
    <x v="1"/>
    <x v="7"/>
    <x v="3"/>
    <x v="5"/>
    <x v="1"/>
    <x v="1"/>
    <x v="0"/>
  </r>
  <r>
    <x v="1"/>
    <x v="8"/>
    <x v="1"/>
    <x v="1"/>
    <x v="0"/>
    <x v="0"/>
    <x v="0"/>
  </r>
  <r>
    <x v="2"/>
    <x v="9"/>
    <x v="3"/>
    <x v="6"/>
    <x v="0"/>
    <x v="0"/>
    <x v="0"/>
  </r>
  <r>
    <x v="2"/>
    <x v="10"/>
    <x v="4"/>
    <x v="2"/>
    <x v="0"/>
    <x v="0"/>
    <x v="0"/>
  </r>
  <r>
    <x v="2"/>
    <x v="11"/>
    <x v="3"/>
    <x v="4"/>
    <x v="0"/>
    <x v="0"/>
    <x v="0"/>
  </r>
  <r>
    <x v="2"/>
    <x v="12"/>
    <x v="5"/>
    <x v="5"/>
    <x v="2"/>
    <x v="1"/>
    <x v="0"/>
  </r>
  <r>
    <x v="3"/>
    <x v="13"/>
    <x v="6"/>
    <x v="4"/>
    <x v="0"/>
    <x v="0"/>
    <x v="0"/>
  </r>
  <r>
    <x v="3"/>
    <x v="14"/>
    <x v="4"/>
    <x v="7"/>
    <x v="0"/>
    <x v="0"/>
    <x v="0"/>
  </r>
  <r>
    <x v="3"/>
    <x v="15"/>
    <x v="3"/>
    <x v="4"/>
    <x v="0"/>
    <x v="0"/>
    <x v="0"/>
  </r>
  <r>
    <x v="3"/>
    <x v="16"/>
    <x v="0"/>
    <x v="0"/>
    <x v="0"/>
    <x v="0"/>
    <x v="0"/>
  </r>
  <r>
    <x v="3"/>
    <x v="17"/>
    <x v="6"/>
    <x v="3"/>
    <x v="0"/>
    <x v="0"/>
    <x v="0"/>
  </r>
  <r>
    <x v="4"/>
    <x v="18"/>
    <x v="5"/>
    <x v="4"/>
    <x v="0"/>
    <x v="0"/>
    <x v="0"/>
  </r>
  <r>
    <x v="4"/>
    <x v="19"/>
    <x v="5"/>
    <x v="6"/>
    <x v="0"/>
    <x v="0"/>
    <x v="0"/>
  </r>
  <r>
    <x v="4"/>
    <x v="20"/>
    <x v="6"/>
    <x v="3"/>
    <x v="0"/>
    <x v="0"/>
    <x v="0"/>
  </r>
  <r>
    <x v="4"/>
    <x v="21"/>
    <x v="0"/>
    <x v="0"/>
    <x v="0"/>
    <x v="0"/>
    <x v="0"/>
  </r>
  <r>
    <x v="4"/>
    <x v="22"/>
    <x v="0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5" firstHeaderRow="1" firstDataRow="1" firstDataCol="1"/>
  <pivotFields count="7">
    <pivotField compact="0" showAll="0">
      <items count="6">
        <item x="1"/>
        <item x="0"/>
        <item x="3"/>
        <item x="2"/>
        <item x="4"/>
        <item t="default"/>
      </items>
    </pivotField>
    <pivotField compact="0" showAll="0"/>
    <pivotField dataField="1" compact="0" showAll="0">
      <items count="8">
        <item x="3"/>
        <item x="5"/>
        <item x="4"/>
        <item x="2"/>
        <item x="0"/>
        <item x="1"/>
        <item x="6"/>
        <item t="default"/>
      </items>
    </pivotField>
    <pivotField compact="0" showAll="0"/>
    <pivotField compact="0" showAll="0"/>
    <pivotField compact="0" showAll="0"/>
    <pivotField axis="axisRow" compact="0" showAll="0">
      <items count="3">
        <item x="0"/>
        <item m="1" x="1"/>
        <item t="default"/>
      </items>
    </pivotField>
  </pivotFields>
  <rowFields count="1">
    <field x="6"/>
  </rowFields>
  <rowItems count="2">
    <i>
      <x/>
    </i>
    <i t="grand">
      <x/>
    </i>
  </rowItems>
  <colItems count="1">
    <i/>
  </colItems>
  <dataFields count="1">
    <dataField name="Sum of Estimation (min)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5"/>
  <sheetViews>
    <sheetView workbookViewId="0">
      <selection activeCell="E3" sqref="E3"/>
    </sheetView>
  </sheetViews>
  <sheetFormatPr defaultColWidth="8.72727272727273" defaultRowHeight="14.5" outlineLevelRow="4" outlineLevelCol="1"/>
  <cols>
    <col min="1" max="1" width="11.6363636363636"/>
    <col min="2" max="2" width="23.2727272727273"/>
  </cols>
  <sheetData>
    <row r="3" spans="1:2">
      <c r="A3" t="s">
        <v>0</v>
      </c>
      <c r="B3" t="s">
        <v>1</v>
      </c>
    </row>
    <row r="4" spans="1:2">
      <c r="A4" t="s">
        <v>2</v>
      </c>
      <c r="B4">
        <v>390</v>
      </c>
    </row>
    <row r="5" spans="1:2">
      <c r="A5" t="s">
        <v>3</v>
      </c>
      <c r="B5">
        <v>390</v>
      </c>
    </row>
  </sheetData>
  <pageMargins left="0.75" right="0.75" top="1" bottom="1" header="0.5" footer="0.5"/>
  <headerFooter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tabSelected="1" workbookViewId="0">
      <selection activeCell="A25" sqref="A25"/>
    </sheetView>
  </sheetViews>
  <sheetFormatPr defaultColWidth="9" defaultRowHeight="14.5" outlineLevelCol="6"/>
  <cols>
    <col min="1" max="1" width="23.7272727272727" customWidth="1"/>
    <col min="2" max="2" width="78.0909090909091" customWidth="1"/>
    <col min="3" max="3" width="16" customWidth="1"/>
    <col min="4" max="5" width="17.6363636363636" customWidth="1"/>
    <col min="6" max="6" width="15.7272727272727" customWidth="1"/>
  </cols>
  <sheetData>
    <row r="1" spans="1:7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0</v>
      </c>
    </row>
    <row r="2" spans="1:7">
      <c r="A2" t="s">
        <v>10</v>
      </c>
      <c r="B2" t="s">
        <v>11</v>
      </c>
      <c r="C2">
        <v>10</v>
      </c>
      <c r="D2">
        <v>10</v>
      </c>
      <c r="E2">
        <f>C2-D2</f>
        <v>0</v>
      </c>
      <c r="F2" s="1">
        <f>D2/(D2+E2)</f>
        <v>1</v>
      </c>
      <c r="G2" t="s">
        <v>2</v>
      </c>
    </row>
    <row r="3" spans="1:7">
      <c r="A3" t="s">
        <v>10</v>
      </c>
      <c r="B3" t="s">
        <v>12</v>
      </c>
      <c r="C3">
        <v>5</v>
      </c>
      <c r="D3">
        <v>5</v>
      </c>
      <c r="E3">
        <f t="shared" ref="E3:E36" si="0">C3-D3</f>
        <v>0</v>
      </c>
      <c r="F3" s="1">
        <f t="shared" ref="F3:F36" si="1">D3/(D3+E3)</f>
        <v>1</v>
      </c>
      <c r="G3" t="s">
        <v>2</v>
      </c>
    </row>
    <row r="4" spans="1:7">
      <c r="A4" t="s">
        <v>10</v>
      </c>
      <c r="B4" t="s">
        <v>13</v>
      </c>
      <c r="C4">
        <v>5</v>
      </c>
      <c r="D4">
        <v>5</v>
      </c>
      <c r="E4">
        <f t="shared" si="0"/>
        <v>0</v>
      </c>
      <c r="F4" s="1">
        <f t="shared" si="1"/>
        <v>1</v>
      </c>
      <c r="G4" t="s">
        <v>2</v>
      </c>
    </row>
    <row r="5" spans="1:7">
      <c r="A5" t="s">
        <v>10</v>
      </c>
      <c r="B5" t="s">
        <v>14</v>
      </c>
      <c r="C5">
        <v>35</v>
      </c>
      <c r="D5">
        <v>30</v>
      </c>
      <c r="E5">
        <v>0</v>
      </c>
      <c r="F5" s="1">
        <f t="shared" si="1"/>
        <v>1</v>
      </c>
      <c r="G5" t="s">
        <v>2</v>
      </c>
    </row>
    <row r="6" spans="1:7">
      <c r="A6" t="s">
        <v>15</v>
      </c>
      <c r="B6" t="s">
        <v>16</v>
      </c>
      <c r="C6">
        <v>10</v>
      </c>
      <c r="D6">
        <v>15</v>
      </c>
      <c r="E6">
        <v>0</v>
      </c>
      <c r="F6" s="1">
        <f t="shared" si="1"/>
        <v>1</v>
      </c>
      <c r="G6" t="s">
        <v>2</v>
      </c>
    </row>
    <row r="7" spans="1:7">
      <c r="A7" t="s">
        <v>15</v>
      </c>
      <c r="B7" t="s">
        <v>17</v>
      </c>
      <c r="C7">
        <v>20</v>
      </c>
      <c r="D7">
        <v>20</v>
      </c>
      <c r="E7">
        <f t="shared" si="0"/>
        <v>0</v>
      </c>
      <c r="F7" s="1">
        <f t="shared" si="1"/>
        <v>1</v>
      </c>
      <c r="G7" t="s">
        <v>2</v>
      </c>
    </row>
    <row r="8" spans="1:7">
      <c r="A8" t="s">
        <v>15</v>
      </c>
      <c r="B8" t="s">
        <v>18</v>
      </c>
      <c r="C8">
        <v>10</v>
      </c>
      <c r="D8">
        <v>10</v>
      </c>
      <c r="E8">
        <f t="shared" si="0"/>
        <v>0</v>
      </c>
      <c r="F8" s="1">
        <f t="shared" si="1"/>
        <v>1</v>
      </c>
      <c r="G8" t="s">
        <v>2</v>
      </c>
    </row>
    <row r="9" spans="1:7">
      <c r="A9" t="s">
        <v>15</v>
      </c>
      <c r="B9" t="s">
        <v>19</v>
      </c>
      <c r="C9">
        <v>20</v>
      </c>
      <c r="D9">
        <v>0</v>
      </c>
      <c r="E9">
        <f t="shared" si="0"/>
        <v>20</v>
      </c>
      <c r="F9" s="1">
        <f t="shared" si="1"/>
        <v>0</v>
      </c>
      <c r="G9" t="s">
        <v>2</v>
      </c>
    </row>
    <row r="10" spans="1:7">
      <c r="A10" t="s">
        <v>15</v>
      </c>
      <c r="B10" t="s">
        <v>20</v>
      </c>
      <c r="C10">
        <v>5</v>
      </c>
      <c r="D10">
        <v>5</v>
      </c>
      <c r="E10">
        <f t="shared" si="0"/>
        <v>0</v>
      </c>
      <c r="F10" s="1">
        <f t="shared" si="1"/>
        <v>1</v>
      </c>
      <c r="G10" t="s">
        <v>2</v>
      </c>
    </row>
    <row r="11" spans="1:7">
      <c r="A11" t="s">
        <v>21</v>
      </c>
      <c r="B11" t="s">
        <v>22</v>
      </c>
      <c r="C11">
        <v>20</v>
      </c>
      <c r="D11">
        <v>25</v>
      </c>
      <c r="E11">
        <v>0</v>
      </c>
      <c r="F11" s="1">
        <f t="shared" si="1"/>
        <v>1</v>
      </c>
      <c r="G11" t="s">
        <v>2</v>
      </c>
    </row>
    <row r="12" spans="1:7">
      <c r="A12" t="s">
        <v>21</v>
      </c>
      <c r="B12" t="s">
        <v>23</v>
      </c>
      <c r="C12">
        <v>30</v>
      </c>
      <c r="D12">
        <v>30</v>
      </c>
      <c r="E12">
        <f t="shared" si="0"/>
        <v>0</v>
      </c>
      <c r="F12" s="1">
        <f t="shared" si="1"/>
        <v>1</v>
      </c>
      <c r="G12" t="s">
        <v>2</v>
      </c>
    </row>
    <row r="13" spans="1:7">
      <c r="A13" t="s">
        <v>21</v>
      </c>
      <c r="B13" t="s">
        <v>24</v>
      </c>
      <c r="C13">
        <v>20</v>
      </c>
      <c r="D13">
        <v>20</v>
      </c>
      <c r="E13">
        <f t="shared" si="0"/>
        <v>0</v>
      </c>
      <c r="F13" s="1">
        <f t="shared" si="1"/>
        <v>1</v>
      </c>
      <c r="G13" t="s">
        <v>2</v>
      </c>
    </row>
    <row r="14" spans="1:7">
      <c r="A14" t="s">
        <v>21</v>
      </c>
      <c r="B14" t="s">
        <v>25</v>
      </c>
      <c r="C14">
        <v>25</v>
      </c>
      <c r="D14">
        <v>0</v>
      </c>
      <c r="E14">
        <f t="shared" si="0"/>
        <v>25</v>
      </c>
      <c r="F14" s="1">
        <f t="shared" si="1"/>
        <v>0</v>
      </c>
      <c r="G14" t="s">
        <v>2</v>
      </c>
    </row>
    <row r="15" spans="1:7">
      <c r="A15" t="s">
        <v>26</v>
      </c>
      <c r="B15" t="s">
        <v>27</v>
      </c>
      <c r="C15">
        <v>15</v>
      </c>
      <c r="D15">
        <v>20</v>
      </c>
      <c r="E15">
        <v>0</v>
      </c>
      <c r="F15" s="1">
        <f t="shared" si="1"/>
        <v>1</v>
      </c>
      <c r="G15" t="s">
        <v>2</v>
      </c>
    </row>
    <row r="16" spans="1:7">
      <c r="A16" t="s">
        <v>26</v>
      </c>
      <c r="B16" t="s">
        <v>28</v>
      </c>
      <c r="C16">
        <v>30</v>
      </c>
      <c r="D16">
        <v>40</v>
      </c>
      <c r="E16">
        <v>0</v>
      </c>
      <c r="F16" s="1">
        <f t="shared" si="1"/>
        <v>1</v>
      </c>
      <c r="G16" t="s">
        <v>2</v>
      </c>
    </row>
    <row r="17" spans="1:7">
      <c r="A17" t="s">
        <v>26</v>
      </c>
      <c r="B17" t="s">
        <v>29</v>
      </c>
      <c r="C17">
        <v>20</v>
      </c>
      <c r="D17">
        <v>20</v>
      </c>
      <c r="E17">
        <f t="shared" si="0"/>
        <v>0</v>
      </c>
      <c r="F17" s="1">
        <f t="shared" si="1"/>
        <v>1</v>
      </c>
      <c r="G17" t="s">
        <v>2</v>
      </c>
    </row>
    <row r="18" spans="1:7">
      <c r="A18" t="s">
        <v>26</v>
      </c>
      <c r="B18" t="s">
        <v>30</v>
      </c>
      <c r="C18">
        <v>10</v>
      </c>
      <c r="D18">
        <v>10</v>
      </c>
      <c r="E18">
        <f t="shared" si="0"/>
        <v>0</v>
      </c>
      <c r="F18" s="1">
        <f t="shared" si="1"/>
        <v>1</v>
      </c>
      <c r="G18" t="s">
        <v>2</v>
      </c>
    </row>
    <row r="19" spans="1:7">
      <c r="A19" t="s">
        <v>26</v>
      </c>
      <c r="B19" t="s">
        <v>31</v>
      </c>
      <c r="C19">
        <v>15</v>
      </c>
      <c r="D19">
        <v>15</v>
      </c>
      <c r="E19">
        <f t="shared" si="0"/>
        <v>0</v>
      </c>
      <c r="F19" s="1">
        <f t="shared" si="1"/>
        <v>1</v>
      </c>
      <c r="G19" t="s">
        <v>2</v>
      </c>
    </row>
    <row r="20" spans="1:7">
      <c r="A20" t="s">
        <v>32</v>
      </c>
      <c r="B20" t="s">
        <v>33</v>
      </c>
      <c r="C20">
        <v>25</v>
      </c>
      <c r="D20">
        <v>20</v>
      </c>
      <c r="E20">
        <v>0</v>
      </c>
      <c r="F20" s="1">
        <f t="shared" si="1"/>
        <v>1</v>
      </c>
      <c r="G20" t="s">
        <v>2</v>
      </c>
    </row>
    <row r="21" spans="1:7">
      <c r="A21" t="s">
        <v>32</v>
      </c>
      <c r="B21" t="s">
        <v>34</v>
      </c>
      <c r="C21">
        <v>25</v>
      </c>
      <c r="D21">
        <v>25</v>
      </c>
      <c r="E21">
        <f t="shared" si="0"/>
        <v>0</v>
      </c>
      <c r="F21" s="1">
        <f t="shared" si="1"/>
        <v>1</v>
      </c>
      <c r="G21" t="s">
        <v>2</v>
      </c>
    </row>
    <row r="22" spans="1:7">
      <c r="A22" t="s">
        <v>32</v>
      </c>
      <c r="B22" t="s">
        <v>35</v>
      </c>
      <c r="C22">
        <v>15</v>
      </c>
      <c r="D22">
        <v>15</v>
      </c>
      <c r="E22">
        <f t="shared" si="0"/>
        <v>0</v>
      </c>
      <c r="F22" s="1">
        <f t="shared" si="1"/>
        <v>1</v>
      </c>
      <c r="G22" t="s">
        <v>2</v>
      </c>
    </row>
    <row r="23" spans="1:7">
      <c r="A23" t="s">
        <v>32</v>
      </c>
      <c r="B23" t="s">
        <v>36</v>
      </c>
      <c r="C23">
        <v>10</v>
      </c>
      <c r="D23">
        <v>10</v>
      </c>
      <c r="E23">
        <f t="shared" si="0"/>
        <v>0</v>
      </c>
      <c r="F23" s="1">
        <f t="shared" si="1"/>
        <v>1</v>
      </c>
      <c r="G23" t="s">
        <v>2</v>
      </c>
    </row>
    <row r="24" spans="1:7">
      <c r="A24" t="s">
        <v>32</v>
      </c>
      <c r="B24" t="s">
        <v>37</v>
      </c>
      <c r="C24">
        <v>10</v>
      </c>
      <c r="D24">
        <v>10</v>
      </c>
      <c r="E24">
        <f t="shared" si="0"/>
        <v>0</v>
      </c>
      <c r="F24" s="1">
        <f t="shared" si="1"/>
        <v>1</v>
      </c>
      <c r="G24" t="s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TODO Takalo-Takalo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RAHARINJATOVO Ianjara Nomena</cp:lastModifiedBy>
  <dcterms:created xsi:type="dcterms:W3CDTF">2026-02-11T08:27:00Z</dcterms:created>
  <dcterms:modified xsi:type="dcterms:W3CDTF">2026-02-11T16:40:39Z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675B0FAB003C4750B972408DB3AD9E56_12</vt:lpwstr>
  </property>
  <property fmtid="{D5CDD505-2E9C-101B-9397-08002B2CF9AE}" pid="3" name="KSOProductBuildVer">
    <vt:lpwstr>1033-12.2.0.23196</vt:lpwstr>
  </property>
</Properties>
</file>