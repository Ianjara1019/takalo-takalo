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 activeTab="1"/>
  </bookViews>
  <sheets>
    <sheet name="Sheet1" sheetId="2" r:id="rId1"/>
    <sheet name="TODO Takalo-Takalo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<sst xmlns="http://schemas.openxmlformats.org/spreadsheetml/2006/main" count="92" uniqueCount="42">
  <si>
    <t>Qui</t>
  </si>
  <si>
    <t>Sum of Estimation (min)</t>
  </si>
  <si>
    <t>Pers1</t>
  </si>
  <si>
    <t>Grand Total</t>
  </si>
  <si>
    <t>Module</t>
  </si>
  <si>
    <t>Tâche</t>
  </si>
  <si>
    <t>Estimation (min)</t>
  </si>
  <si>
    <t>Temps passe</t>
  </si>
  <si>
    <t>Reste à faire (min)</t>
  </si>
  <si>
    <t>Avancement (%)</t>
  </si>
  <si>
    <t>Inscription</t>
  </si>
  <si>
    <t>Page inscription (GET /inscription + vue app/views/user/inscription.php)</t>
  </si>
  <si>
    <t>Insertion utilisateur (Utilisateur::inscrire + hash mot de passe)</t>
  </si>
  <si>
    <t>Soumission AJAX(fetch + retour JSON + redirection front)</t>
  </si>
  <si>
    <t>Validation serveur des champs obligatoires(nom, prenom, email, password, telephone) via FormValidator</t>
  </si>
  <si>
    <t>Regle mot de passe fort(8+ chars, majuscule, minuscule, chiffre, caractere special)</t>
  </si>
  <si>
    <t>Connexion utilisateur</t>
  </si>
  <si>
    <t>Page login (GET /login + vue app/views/user/login.php)</t>
  </si>
  <si>
    <t>Vérification identifiants (Utilisateur::login + password_verify)</t>
  </si>
  <si>
    <t>Variables de session utilisateur stockées après login</t>
  </si>
  <si>
    <t>Soumission AJAX (fetch + retour JSON sur succes/erreur)</t>
  </si>
  <si>
    <t>Detection requete AJAX factorisee dans RequestHelper::isAjaxRequest</t>
  </si>
  <si>
    <t>Logout existant (session_destroy) mais nettoyage à renforcer</t>
  </si>
  <si>
    <t>Objets</t>
  </si>
  <si>
    <t>Liste objets disponibles affichée (GET /objets + Objet::getAutresObjets)</t>
  </si>
  <si>
    <t>Recherche active (mot-clé + catégorie via Objet::search)</t>
  </si>
  <si>
    <t>Fiche objet complète (infos, photos, historique, formulaire proposition)</t>
  </si>
  <si>
    <t>Gestion explicite objet inexistant à ajouter</t>
  </si>
  <si>
    <t>Mes objets</t>
  </si>
  <si>
    <t>Création objet faite (POST /objet/ajouter + insertion DB)</t>
  </si>
  <si>
    <t>Upload multiple codé (move_uploaded_file + photo principale)</t>
  </si>
  <si>
    <t>Modification objet fonctionnelle (POST /objet/modifier/@id)</t>
  </si>
  <si>
    <t>Soumission AJAX implementee pour ajout/modification (modales + fetch + JSON)</t>
  </si>
  <si>
    <t>Validation centralisee avec FormValidator::validateObjetData</t>
  </si>
  <si>
    <t>Suppression objet présente via GET (à migrer en POST)</t>
  </si>
  <si>
    <t>Contrôle propriétaire implémenté avant modifier/supprimer</t>
  </si>
  <si>
    <t>Propositions et échanges</t>
  </si>
  <si>
    <t>Création proposition (POST /proposition/creer + Proposition::create)</t>
  </si>
  <si>
    <t>Pages reçues/envoyées en place (GET /echanges + vue onglets)</t>
  </si>
  <si>
    <t>Acceptation opérationnelle (transaction + échange + transfert)</t>
  </si>
  <si>
    <t>Refus opérationnel (UPDATE statut = refuse)</t>
  </si>
  <si>
    <t>Acceptation/refus exposés en GET (à convertir en POST)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</si>
</sst>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\-_-;_-@_-"/>
  </numFmts>
  <fonts count="21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9" fontId="0" fillId="0" borderId="1" xfId="3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[TODO_Projet_Takalo_Takalo_v2.xlsx]Sheet1!PivotTable1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Sheet1!$A$4:$A$5</c:f>
              <c:strCache>
                <c:ptCount val="1"/>
                <c:pt idx="0">
                  <c:v>Pers1</c:v>
                </c:pt>
              </c:strCache>
            </c:strRef>
          </c:cat>
          <c:val>
            <c:numRef>
              <c:f>Sheet1!$B$4:$B$5</c:f>
              <c:numCache>
                <c:formatCode>General</c:formatCode>
                <c:ptCount val="1"/>
                <c:pt idx="0">
                  <c:v>390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2208414"/>
        <c:axId val="70858879"/>
      </c:barChart>
      <c:catAx>
        <c:axId val="76220841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858879"/>
        <c:crosses val="autoZero"/>
        <c:auto val="1"/>
        <c:lblAlgn val="ctr"/>
        <c:lblOffset val="100"/>
        <c:noMultiLvlLbl val="0"/>
      </c:catAx>
      <c:valAx>
        <c:axId val="7085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220841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c4744d9-747a-4445-8aab-7331910a2a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254000</xdr:colOff>
      <xdr:row>3</xdr:row>
      <xdr:rowOff>6350</xdr:rowOff>
    </xdr:from>
    <xdr:to>
      <xdr:col>13</xdr:col>
      <xdr:colOff>203200</xdr:colOff>
      <xdr:row>17</xdr:row>
      <xdr:rowOff>171450</xdr:rowOff>
    </xdr:to>
    <xdr:graphicFrame>
      <xdr:nvGraphicFramePr>
        <xdr:cNvPr id="2" name="Chart 1"/>
        <xdr:cNvGraphicFramePr/>
      </xdr:nvGraphicFramePr>
      <xdr:xfrm>
        <a:off x="4521200" y="558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64.8183333333" refreshedBy="Ianjara" recordCount="23">
  <cacheSource type="worksheet">
    <worksheetSource ref="A1:G28" sheet="TODO Takalo-Takalo"/>
  </cacheSource>
  <cacheFields count="7">
    <cacheField name="Module" numFmtId="0">
      <sharedItems count="5">
        <s v="Inscription"/>
        <s v="Connexion utilisateur"/>
        <s v="Objets"/>
        <s v="Mes objets"/>
        <s v="Propositions et échanges"/>
      </sharedItems>
    </cacheField>
    <cacheField name="Tâche" numFmtId="0">
      <sharedItems count="23">
        <s v="Page inscription (GET /inscription + vue app/views/user/inscription.php)"/>
        <s v="Insertion utilisateur (Utilisateur::inscrire + hash mot de passe)"/>
        <s v="Redirection + message session après inscription"/>
        <s v="Validation serveur complète des champs obligatoires à finaliser"/>
        <s v="Page login (GET /login + vue app/views/user/login.php)"/>
        <s v="Vérification identifiants (Utilisateur::login + password_verify)"/>
        <s v="Variables de session utilisateur stockées après login"/>
        <s v="Régénération ID session au login non faite (fixation session)"/>
        <s v="Logout existant (session_destroy) mais nettoyage à renforcer"/>
        <s v="Liste objets disponibles affichée (GET /objets + Objet::getAutresObjets)"/>
        <s v="Recherche active (mot-clé + catégorie via Objet::search)"/>
        <s v="Fiche objet complète (infos, photos, historique, formulaire proposition)"/>
        <s v="Gestion explicite objet inexistant à ajouter"/>
        <s v="Création objet faite (POST /objet/ajouter + insertion DB)"/>
        <s v="Upload multiple codé (move_uploaded_file + photo principale)"/>
        <s v="Modification objet fonctionnelle (POST /objet/modifier/@id)"/>
        <s v="Suppression objet présente via GET (à migrer en POST)"/>
        <s v="Contrôle propriétaire implémenté avant modifier/supprimer"/>
        <s v="Création proposition en place (POST /proposition/creer + Proposition::create)"/>
        <s v="Pages reçues/envoyées en place (GET /echanges + vue onglets)"/>
        <s v="Acceptation opérationnelle (transaction + échange + transfert)"/>
        <s v="Refus opérationnel (UPDATE statut = refuse)"/>
        <s v="Acceptation/refus exposés en GET (à convertir en POST)"/>
      </sharedItems>
    </cacheField>
    <cacheField name="Estimation (min)" numFmtId="0">
      <sharedItems containsSemiMixedTypes="0" containsString="0" containsNumber="1" containsInteger="1" minValue="5" maxValue="35" count="7">
        <n v="10"/>
        <n v="5"/>
        <n v="35"/>
        <n v="20"/>
        <n v="30"/>
        <n v="25"/>
        <n v="15"/>
      </sharedItems>
    </cacheField>
    <cacheField name="Temps passe" numFmtId="0">
      <sharedItems containsSemiMixedTypes="0" containsString="0" containsNumber="1" containsInteger="1" minValue="0" maxValue="40" count="8">
        <n v="10"/>
        <n v="5"/>
        <n v="30"/>
        <n v="15"/>
        <n v="20"/>
        <n v="0"/>
        <n v="25"/>
        <n v="40"/>
      </sharedItems>
    </cacheField>
    <cacheField name="Reste à faire (min)" numFmtId="0">
      <sharedItems containsSemiMixedTypes="0" containsString="0" containsNumber="1" containsInteger="1" minValue="0" maxValue="25" count="3">
        <n v="0"/>
        <n v="20"/>
        <n v="25"/>
      </sharedItems>
    </cacheField>
    <cacheField name="Avancement (%)" numFmtId="9">
      <sharedItems containsSemiMixedTypes="0" containsString="0" containsNumber="1" containsInteger="1" minValue="0" maxValue="1" count="2">
        <n v="1"/>
        <n v="0"/>
      </sharedItems>
    </cacheField>
    <cacheField name="Qui" numFmtId="0">
      <sharedItems containsBlank="1" count="2">
        <s v="Pers1"/>
        <m u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">
  <r>
    <x v="0"/>
    <x v="0"/>
    <x v="0"/>
    <x v="0"/>
    <x v="0"/>
    <x v="0"/>
    <x v="0"/>
  </r>
  <r>
    <x v="0"/>
    <x v="1"/>
    <x v="1"/>
    <x v="1"/>
    <x v="0"/>
    <x v="0"/>
    <x v="0"/>
  </r>
  <r>
    <x v="0"/>
    <x v="2"/>
    <x v="1"/>
    <x v="1"/>
    <x v="0"/>
    <x v="0"/>
    <x v="0"/>
  </r>
  <r>
    <x v="0"/>
    <x v="3"/>
    <x v="2"/>
    <x v="2"/>
    <x v="0"/>
    <x v="0"/>
    <x v="0"/>
  </r>
  <r>
    <x v="1"/>
    <x v="4"/>
    <x v="0"/>
    <x v="3"/>
    <x v="0"/>
    <x v="0"/>
    <x v="0"/>
  </r>
  <r>
    <x v="1"/>
    <x v="5"/>
    <x v="3"/>
    <x v="4"/>
    <x v="0"/>
    <x v="0"/>
    <x v="0"/>
  </r>
  <r>
    <x v="1"/>
    <x v="6"/>
    <x v="0"/>
    <x v="0"/>
    <x v="0"/>
    <x v="0"/>
    <x v="0"/>
  </r>
  <r>
    <x v="1"/>
    <x v="7"/>
    <x v="3"/>
    <x v="5"/>
    <x v="1"/>
    <x v="1"/>
    <x v="0"/>
  </r>
  <r>
    <x v="1"/>
    <x v="8"/>
    <x v="1"/>
    <x v="1"/>
    <x v="0"/>
    <x v="0"/>
    <x v="0"/>
  </r>
  <r>
    <x v="2"/>
    <x v="9"/>
    <x v="3"/>
    <x v="6"/>
    <x v="0"/>
    <x v="0"/>
    <x v="0"/>
  </r>
  <r>
    <x v="2"/>
    <x v="10"/>
    <x v="4"/>
    <x v="2"/>
    <x v="0"/>
    <x v="0"/>
    <x v="0"/>
  </r>
  <r>
    <x v="2"/>
    <x v="11"/>
    <x v="3"/>
    <x v="4"/>
    <x v="0"/>
    <x v="0"/>
    <x v="0"/>
  </r>
  <r>
    <x v="2"/>
    <x v="12"/>
    <x v="5"/>
    <x v="5"/>
    <x v="2"/>
    <x v="1"/>
    <x v="0"/>
  </r>
  <r>
    <x v="3"/>
    <x v="13"/>
    <x v="6"/>
    <x v="4"/>
    <x v="0"/>
    <x v="0"/>
    <x v="0"/>
  </r>
  <r>
    <x v="3"/>
    <x v="14"/>
    <x v="4"/>
    <x v="7"/>
    <x v="0"/>
    <x v="0"/>
    <x v="0"/>
  </r>
  <r>
    <x v="3"/>
    <x v="15"/>
    <x v="3"/>
    <x v="4"/>
    <x v="0"/>
    <x v="0"/>
    <x v="0"/>
  </r>
  <r>
    <x v="3"/>
    <x v="16"/>
    <x v="0"/>
    <x v="0"/>
    <x v="0"/>
    <x v="0"/>
    <x v="0"/>
  </r>
  <r>
    <x v="3"/>
    <x v="17"/>
    <x v="6"/>
    <x v="3"/>
    <x v="0"/>
    <x v="0"/>
    <x v="0"/>
  </r>
  <r>
    <x v="4"/>
    <x v="18"/>
    <x v="5"/>
    <x v="4"/>
    <x v="0"/>
    <x v="0"/>
    <x v="0"/>
  </r>
  <r>
    <x v="4"/>
    <x v="19"/>
    <x v="5"/>
    <x v="6"/>
    <x v="0"/>
    <x v="0"/>
    <x v="0"/>
  </r>
  <r>
    <x v="4"/>
    <x v="20"/>
    <x v="6"/>
    <x v="3"/>
    <x v="0"/>
    <x v="0"/>
    <x v="0"/>
  </r>
  <r>
    <x v="4"/>
    <x v="21"/>
    <x v="0"/>
    <x v="0"/>
    <x v="0"/>
    <x v="0"/>
    <x v="0"/>
  </r>
  <r>
    <x v="4"/>
    <x v="22"/>
    <x v="0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5" firstHeaderRow="1" firstDataRow="1" firstDataCol="1"/>
  <pivotFields count="7">
    <pivotField compact="0" showAll="0">
      <items count="6">
        <item x="1"/>
        <item x="0"/>
        <item x="3"/>
        <item x="2"/>
        <item x="4"/>
        <item t="default"/>
      </items>
    </pivotField>
    <pivotField compact="0" showAll="0"/>
    <pivotField dataField="1" compact="0" showAll="0">
      <items count="8">
        <item x="3"/>
        <item x="5"/>
        <item x="4"/>
        <item x="2"/>
        <item x="0"/>
        <item x="1"/>
        <item x="6"/>
        <item t="default"/>
      </items>
    </pivotField>
    <pivotField compact="0" showAll="0"/>
    <pivotField compact="0" showAll="0"/>
    <pivotField compact="0" showAll="0"/>
    <pivotField axis="axisRow" compact="0" showAll="0">
      <items count="3">
        <item x="0"/>
        <item m="1" x="1"/>
        <item t="default"/>
      </items>
    </pivotField>
  </pivotFields>
  <rowFields count="1">
    <field x="6"/>
  </rowFields>
  <rowItems count="2">
    <i>
      <x/>
    </i>
    <i t="grand">
      <x/>
    </i>
  </rowItems>
  <colItems count="1">
    <i/>
  </colItems>
  <dataFields count="1">
    <dataField name="Sum of Estimation (min)" fld="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5"/>
  <sheetViews>
    <sheetView workbookViewId="0">
      <selection activeCell="B3" sqref="B3"/>
    </sheetView>
  </sheetViews>
  <sheetFormatPr defaultColWidth="8.72727272727273" defaultRowHeight="14.5" outlineLevelRow="4" outlineLevelCol="1"/>
  <cols>
    <col min="1" max="1" width="11.6363636363636"/>
    <col min="2" max="2" width="23.2727272727273"/>
  </cols>
  <sheetData>
    <row r="3" spans="1:2">
      <c r="A3" t="s">
        <v>0</v>
      </c>
      <c r="B3" t="s">
        <v>1</v>
      </c>
    </row>
    <row r="4" spans="1:2">
      <c r="A4" t="s">
        <v>2</v>
      </c>
      <c r="B4">
        <v>390</v>
      </c>
    </row>
    <row r="5" spans="1:2">
      <c r="A5" t="s">
        <v>3</v>
      </c>
      <c r="B5">
        <v>390</v>
      </c>
    </row>
  </sheetData>
  <pageMargins left="0.75" right="0.75" top="1" bottom="1" header="0.5" footer="0.5"/>
  <headerFooter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8"/>
  <sheetViews>
    <sheetView tabSelected="1" zoomScale="80" zoomScaleNormal="80" workbookViewId="0">
      <selection activeCell="C8" sqref="C8"/>
    </sheetView>
  </sheetViews>
  <sheetFormatPr defaultColWidth="9" defaultRowHeight="14.5" outlineLevelCol="6"/>
  <cols>
    <col min="1" max="1" width="23.7272727272727" customWidth="1"/>
    <col min="2" max="2" width="98.6363636363636" customWidth="1"/>
    <col min="3" max="3" width="16" customWidth="1"/>
    <col min="4" max="5" width="17.6363636363636" customWidth="1"/>
    <col min="6" max="6" width="15.7272727272727" customWidth="1"/>
  </cols>
  <sheetData>
    <row r="1" spans="1:7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0</v>
      </c>
    </row>
    <row r="2" spans="1:7">
      <c r="A2" s="2" t="s">
        <v>10</v>
      </c>
      <c r="B2" s="2" t="s">
        <v>11</v>
      </c>
      <c r="C2" s="2">
        <v>10</v>
      </c>
      <c r="D2" s="2">
        <v>10</v>
      </c>
      <c r="E2" s="2">
        <f>C2-D2</f>
        <v>0</v>
      </c>
      <c r="F2" s="3">
        <f>D2/(D2+E2)</f>
        <v>1</v>
      </c>
      <c r="G2" s="2" t="s">
        <v>2</v>
      </c>
    </row>
    <row r="3" spans="1:7">
      <c r="A3" s="2" t="s">
        <v>10</v>
      </c>
      <c r="B3" s="2" t="s">
        <v>12</v>
      </c>
      <c r="C3" s="2">
        <v>5</v>
      </c>
      <c r="D3" s="2">
        <v>5</v>
      </c>
      <c r="E3" s="2">
        <f>C3-D3</f>
        <v>0</v>
      </c>
      <c r="F3" s="3">
        <f>D3/(D3+E3)</f>
        <v>1</v>
      </c>
      <c r="G3" s="2" t="s">
        <v>2</v>
      </c>
    </row>
    <row r="4" spans="1:7">
      <c r="A4" s="2" t="s">
        <v>10</v>
      </c>
      <c r="B4" s="2" t="s">
        <v>13</v>
      </c>
      <c r="C4" s="2">
        <v>20</v>
      </c>
      <c r="D4" s="2">
        <v>20</v>
      </c>
      <c r="E4" s="2">
        <f>C4-D4</f>
        <v>0</v>
      </c>
      <c r="F4" s="3">
        <f>D4/(D4+E4)</f>
        <v>1</v>
      </c>
      <c r="G4" s="2" t="s">
        <v>2</v>
      </c>
    </row>
    <row r="5" spans="1:7">
      <c r="A5" s="2" t="s">
        <v>10</v>
      </c>
      <c r="B5" s="2" t="s">
        <v>14</v>
      </c>
      <c r="C5" s="2">
        <v>35</v>
      </c>
      <c r="D5" s="2">
        <v>30</v>
      </c>
      <c r="E5" s="2">
        <v>0</v>
      </c>
      <c r="F5" s="3">
        <f>D5/(D5+E5)</f>
        <v>1</v>
      </c>
      <c r="G5" s="2" t="s">
        <v>2</v>
      </c>
    </row>
    <row r="6" spans="1:7">
      <c r="A6" s="2" t="s">
        <v>10</v>
      </c>
      <c r="B6" s="2" t="s">
        <v>15</v>
      </c>
      <c r="C6" s="2">
        <v>15</v>
      </c>
      <c r="D6" s="2">
        <v>15</v>
      </c>
      <c r="E6" s="2">
        <v>0</v>
      </c>
      <c r="F6" s="3">
        <f>D6/(D6+E6)</f>
        <v>1</v>
      </c>
      <c r="G6" s="2" t="s">
        <v>2</v>
      </c>
    </row>
    <row r="7" spans="1:7">
      <c r="A7" s="2" t="s">
        <v>16</v>
      </c>
      <c r="B7" s="2" t="s">
        <v>17</v>
      </c>
      <c r="C7" s="2">
        <v>10</v>
      </c>
      <c r="D7" s="2">
        <v>15</v>
      </c>
      <c r="E7" s="2">
        <v>0</v>
      </c>
      <c r="F7" s="3">
        <f>D7/(D7+E7)</f>
        <v>1</v>
      </c>
      <c r="G7" s="2" t="s">
        <v>2</v>
      </c>
    </row>
    <row r="8" spans="1:7">
      <c r="A8" s="2" t="s">
        <v>16</v>
      </c>
      <c r="B8" s="2" t="s">
        <v>18</v>
      </c>
      <c r="C8" s="2">
        <v>20</v>
      </c>
      <c r="D8" s="2">
        <v>20</v>
      </c>
      <c r="E8" s="2">
        <f>C8-D8</f>
        <v>0</v>
      </c>
      <c r="F8" s="3">
        <f>D8/(D8+E8)</f>
        <v>1</v>
      </c>
      <c r="G8" s="2" t="s">
        <v>2</v>
      </c>
    </row>
    <row r="9" spans="1:7">
      <c r="A9" s="2" t="s">
        <v>16</v>
      </c>
      <c r="B9" s="2" t="s">
        <v>19</v>
      </c>
      <c r="C9" s="2">
        <v>10</v>
      </c>
      <c r="D9" s="2">
        <v>10</v>
      </c>
      <c r="E9" s="2">
        <f>C9-D9</f>
        <v>0</v>
      </c>
      <c r="F9" s="3">
        <f>D9/(D9+E9)</f>
        <v>1</v>
      </c>
      <c r="G9" s="2" t="s">
        <v>2</v>
      </c>
    </row>
    <row r="10" spans="1:7">
      <c r="A10" s="2" t="s">
        <v>16</v>
      </c>
      <c r="B10" s="2" t="s">
        <v>20</v>
      </c>
      <c r="C10" s="2">
        <v>20</v>
      </c>
      <c r="D10" s="2">
        <v>0</v>
      </c>
      <c r="E10" s="2">
        <f>C10-D10</f>
        <v>20</v>
      </c>
      <c r="F10" s="3">
        <f>D10/(D10+E10)</f>
        <v>0</v>
      </c>
      <c r="G10" s="2" t="s">
        <v>2</v>
      </c>
    </row>
    <row r="11" spans="1:7">
      <c r="A11" s="2" t="s">
        <v>16</v>
      </c>
      <c r="B11" s="2" t="s">
        <v>21</v>
      </c>
      <c r="C11" s="2">
        <v>15</v>
      </c>
      <c r="D11" s="2">
        <v>0</v>
      </c>
      <c r="E11" s="2">
        <f>C11-D11</f>
        <v>15</v>
      </c>
      <c r="F11" s="3">
        <f>D11/(D11+E11)</f>
        <v>0</v>
      </c>
      <c r="G11" s="2" t="s">
        <v>2</v>
      </c>
    </row>
    <row r="12" spans="1:7">
      <c r="A12" s="2" t="s">
        <v>16</v>
      </c>
      <c r="B12" s="2" t="s">
        <v>22</v>
      </c>
      <c r="C12" s="2">
        <v>5</v>
      </c>
      <c r="D12" s="2">
        <v>5</v>
      </c>
      <c r="E12" s="2">
        <f>C12-D12</f>
        <v>0</v>
      </c>
      <c r="F12" s="3">
        <f>D12/(D12+E12)</f>
        <v>1</v>
      </c>
      <c r="G12" s="2" t="s">
        <v>2</v>
      </c>
    </row>
    <row r="13" spans="1:7">
      <c r="A13" s="2" t="s">
        <v>23</v>
      </c>
      <c r="B13" s="2" t="s">
        <v>24</v>
      </c>
      <c r="C13" s="2">
        <v>20</v>
      </c>
      <c r="D13" s="2">
        <v>25</v>
      </c>
      <c r="E13" s="2">
        <v>0</v>
      </c>
      <c r="F13" s="3">
        <f>D13/(D13+E13)</f>
        <v>1</v>
      </c>
      <c r="G13" s="2" t="s">
        <v>2</v>
      </c>
    </row>
    <row r="14" spans="1:7">
      <c r="A14" s="2" t="s">
        <v>23</v>
      </c>
      <c r="B14" s="2" t="s">
        <v>25</v>
      </c>
      <c r="C14" s="2">
        <v>30</v>
      </c>
      <c r="D14" s="2">
        <v>30</v>
      </c>
      <c r="E14" s="2">
        <f>C14-D14</f>
        <v>0</v>
      </c>
      <c r="F14" s="3">
        <f>D14/(D14+E14)</f>
        <v>1</v>
      </c>
      <c r="G14" s="2" t="s">
        <v>2</v>
      </c>
    </row>
    <row r="15" spans="1:7">
      <c r="A15" s="2" t="s">
        <v>23</v>
      </c>
      <c r="B15" s="2" t="s">
        <v>26</v>
      </c>
      <c r="C15" s="2">
        <v>20</v>
      </c>
      <c r="D15" s="2">
        <v>20</v>
      </c>
      <c r="E15" s="2">
        <f>C15-D15</f>
        <v>0</v>
      </c>
      <c r="F15" s="3">
        <f>D15/(D15+E15)</f>
        <v>1</v>
      </c>
      <c r="G15" s="2" t="s">
        <v>2</v>
      </c>
    </row>
    <row r="16" spans="1:7">
      <c r="A16" s="2" t="s">
        <v>23</v>
      </c>
      <c r="B16" s="2" t="s">
        <v>27</v>
      </c>
      <c r="C16" s="2">
        <v>25</v>
      </c>
      <c r="D16" s="2">
        <v>0</v>
      </c>
      <c r="E16" s="2">
        <f>C16-D16</f>
        <v>25</v>
      </c>
      <c r="F16" s="3">
        <f>D16/(D16+E16)</f>
        <v>0</v>
      </c>
      <c r="G16" s="2" t="s">
        <v>2</v>
      </c>
    </row>
    <row r="17" spans="1:7">
      <c r="A17" s="2" t="s">
        <v>28</v>
      </c>
      <c r="B17" s="2" t="s">
        <v>29</v>
      </c>
      <c r="C17" s="2">
        <v>15</v>
      </c>
      <c r="D17" s="2">
        <v>20</v>
      </c>
      <c r="E17" s="2">
        <v>0</v>
      </c>
      <c r="F17" s="3">
        <f>D17/(D17+E17)</f>
        <v>1</v>
      </c>
      <c r="G17" s="2" t="s">
        <v>2</v>
      </c>
    </row>
    <row r="18" spans="1:7">
      <c r="A18" s="2" t="s">
        <v>28</v>
      </c>
      <c r="B18" s="2" t="s">
        <v>30</v>
      </c>
      <c r="C18" s="2">
        <v>30</v>
      </c>
      <c r="D18" s="2">
        <v>40</v>
      </c>
      <c r="E18" s="2">
        <v>0</v>
      </c>
      <c r="F18" s="3">
        <f>D18/(D18+E18)</f>
        <v>1</v>
      </c>
      <c r="G18" s="2" t="s">
        <v>2</v>
      </c>
    </row>
    <row r="19" spans="1:7">
      <c r="A19" s="2" t="s">
        <v>28</v>
      </c>
      <c r="B19" s="2" t="s">
        <v>31</v>
      </c>
      <c r="C19" s="2">
        <v>20</v>
      </c>
      <c r="D19" s="2">
        <v>20</v>
      </c>
      <c r="E19" s="2">
        <f>C19-D19</f>
        <v>0</v>
      </c>
      <c r="F19" s="3">
        <f>D19/(D19+E19)</f>
        <v>1</v>
      </c>
      <c r="G19" s="2" t="s">
        <v>2</v>
      </c>
    </row>
    <row r="20" spans="1:7">
      <c r="A20" s="2" t="s">
        <v>28</v>
      </c>
      <c r="B20" s="2" t="s">
        <v>32</v>
      </c>
      <c r="C20" s="2">
        <v>35</v>
      </c>
      <c r="D20" s="2">
        <v>35</v>
      </c>
      <c r="E20" s="2">
        <f>C20-D20</f>
        <v>0</v>
      </c>
      <c r="F20" s="3">
        <f>D20/(D20+E20)</f>
        <v>1</v>
      </c>
      <c r="G20" s="2" t="s">
        <v>2</v>
      </c>
    </row>
    <row r="21" spans="1:7">
      <c r="A21" s="2" t="s">
        <v>28</v>
      </c>
      <c r="B21" s="2" t="s">
        <v>33</v>
      </c>
      <c r="C21" s="2">
        <v>20</v>
      </c>
      <c r="D21" s="2">
        <v>20</v>
      </c>
      <c r="E21" s="2">
        <f>C21-D21</f>
        <v>0</v>
      </c>
      <c r="F21" s="3">
        <f>D21/(D21+E21)</f>
        <v>1</v>
      </c>
      <c r="G21" s="2" t="s">
        <v>2</v>
      </c>
    </row>
    <row r="22" spans="1:7">
      <c r="A22" s="2" t="s">
        <v>28</v>
      </c>
      <c r="B22" s="2" t="s">
        <v>34</v>
      </c>
      <c r="C22" s="2">
        <v>10</v>
      </c>
      <c r="D22" s="2">
        <v>10</v>
      </c>
      <c r="E22" s="2">
        <f t="shared" ref="E22:E40" si="0">C22-D22</f>
        <v>0</v>
      </c>
      <c r="F22" s="3">
        <f t="shared" ref="F22:F40" si="1">D22/(D22+E22)</f>
        <v>1</v>
      </c>
      <c r="G22" s="2" t="s">
        <v>2</v>
      </c>
    </row>
    <row r="23" spans="1:7">
      <c r="A23" s="2" t="s">
        <v>28</v>
      </c>
      <c r="B23" s="2" t="s">
        <v>35</v>
      </c>
      <c r="C23" s="2">
        <v>15</v>
      </c>
      <c r="D23" s="2">
        <v>15</v>
      </c>
      <c r="E23" s="2">
        <f t="shared" si="0"/>
        <v>0</v>
      </c>
      <c r="F23" s="3">
        <f t="shared" si="1"/>
        <v>1</v>
      </c>
      <c r="G23" s="2" t="s">
        <v>2</v>
      </c>
    </row>
    <row r="24" spans="1:7">
      <c r="A24" s="2" t="s">
        <v>36</v>
      </c>
      <c r="B24" s="2" t="s">
        <v>37</v>
      </c>
      <c r="C24" s="2">
        <v>25</v>
      </c>
      <c r="D24" s="2">
        <v>20</v>
      </c>
      <c r="E24" s="2">
        <v>0</v>
      </c>
      <c r="F24" s="3">
        <f t="shared" si="1"/>
        <v>1</v>
      </c>
      <c r="G24" s="2" t="s">
        <v>2</v>
      </c>
    </row>
    <row r="25" spans="1:7">
      <c r="A25" s="2" t="s">
        <v>36</v>
      </c>
      <c r="B25" s="2" t="s">
        <v>38</v>
      </c>
      <c r="C25" s="2">
        <v>25</v>
      </c>
      <c r="D25" s="2">
        <v>25</v>
      </c>
      <c r="E25" s="2">
        <f t="shared" si="0"/>
        <v>0</v>
      </c>
      <c r="F25" s="3">
        <f t="shared" si="1"/>
        <v>1</v>
      </c>
      <c r="G25" s="2" t="s">
        <v>2</v>
      </c>
    </row>
    <row r="26" spans="1:7">
      <c r="A26" s="2" t="s">
        <v>36</v>
      </c>
      <c r="B26" s="2" t="s">
        <v>39</v>
      </c>
      <c r="C26" s="2">
        <v>15</v>
      </c>
      <c r="D26" s="2">
        <v>15</v>
      </c>
      <c r="E26" s="2">
        <f t="shared" si="0"/>
        <v>0</v>
      </c>
      <c r="F26" s="3">
        <f t="shared" si="1"/>
        <v>1</v>
      </c>
      <c r="G26" s="2" t="s">
        <v>2</v>
      </c>
    </row>
    <row r="27" spans="1:7">
      <c r="A27" s="2" t="s">
        <v>36</v>
      </c>
      <c r="B27" s="2" t="s">
        <v>40</v>
      </c>
      <c r="C27" s="2">
        <v>10</v>
      </c>
      <c r="D27" s="2">
        <v>10</v>
      </c>
      <c r="E27" s="2">
        <f t="shared" si="0"/>
        <v>0</v>
      </c>
      <c r="F27" s="3">
        <f t="shared" si="1"/>
        <v>1</v>
      </c>
      <c r="G27" s="2" t="s">
        <v>2</v>
      </c>
    </row>
    <row r="28" spans="1:7">
      <c r="A28" s="2" t="s">
        <v>36</v>
      </c>
      <c r="B28" s="2" t="s">
        <v>41</v>
      </c>
      <c r="C28" s="2">
        <v>10</v>
      </c>
      <c r="D28" s="2">
        <v>0</v>
      </c>
      <c r="E28" s="2">
        <f t="shared" si="0"/>
        <v>10</v>
      </c>
      <c r="F28" s="3">
        <f t="shared" si="1"/>
        <v>0</v>
      </c>
      <c r="G28" s="2" t="s">
        <v>2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TODO Takalo-Takalo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RAHARINJATOVO Ianjara Nomena</cp:lastModifiedBy>
  <dcterms:created xsi:type="dcterms:W3CDTF">2026-02-11T08:27:00Z</dcterms:created>
  <dcterms:modified xsi:type="dcterms:W3CDTF">2026-02-12T05:35:33Z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675B0FAB003C4750B972408DB3AD9E56_12</vt:lpwstr>
  </property>
  <property fmtid="{D5CDD505-2E9C-101B-9397-08002B2CF9AE}" pid="3" name="KSOProductBuildVer">
    <vt:lpwstr>1033-12.2.0.23196</vt:lpwstr>
  </property>
  <property fmtid="{D5CDD505-2E9C-101B-9397-08002B2CF9AE}" pid="4" name="KSOReadingLayout">
    <vt:bool>true</vt:bool>
  </property>
</Properties>
</file>